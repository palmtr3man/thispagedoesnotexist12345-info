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template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760" windowWidth="30240" windowHeight="18160" tabRatio="600" firstSheet="0" activeTab="0" autoFilterDateGrouping="1"/>
  </bookViews>
  <sheets>
    <sheet xmlns:r="http://schemas.openxmlformats.org/officeDocument/2006/relationships" name="Template Version 5" sheetId="1" state="visible" r:id="rId1"/>
    <sheet xmlns:r="http://schemas.openxmlformats.org/officeDocument/2006/relationships" name="V5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mmm\-yyyy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92D050"/>
      <sz val="11"/>
      <scheme val="minor"/>
    </font>
    <font>
      <name val="Calibri"/>
      <family val="2"/>
      <color theme="10"/>
      <sz val="11"/>
      <u val="single"/>
      <scheme val="minor"/>
    </font>
  </fonts>
  <fills count="1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0"/>
    <xf numFmtId="9" fontId="1" fillId="0" borderId="0"/>
    <xf numFmtId="0" fontId="7" fillId="0" borderId="0"/>
  </cellStyleXfs>
  <cellXfs count="96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14" fontId="0" fillId="0" borderId="0" pivotButton="0" quotePrefix="0" xfId="0"/>
    <xf numFmtId="164" fontId="0" fillId="0" borderId="0" applyAlignment="1" pivotButton="0" quotePrefix="0" xfId="0">
      <alignment horizontal="right"/>
    </xf>
    <xf numFmtId="2" fontId="0" fillId="0" borderId="0" pivotButton="0" quotePrefix="0" xfId="0"/>
    <xf numFmtId="2" fontId="0" fillId="3" borderId="0" pivotButton="0" quotePrefix="0" xfId="0"/>
    <xf numFmtId="2" fontId="0" fillId="4" borderId="0" pivotButton="0" quotePrefix="0" xfId="0"/>
    <xf numFmtId="2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4" fontId="0" fillId="5" borderId="0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" fontId="0" fillId="0" borderId="0" pivotButton="0" quotePrefix="0" xfId="0"/>
    <xf numFmtId="0" fontId="0" fillId="0" borderId="0" applyAlignment="1" pivotButton="0" quotePrefix="0" xfId="0">
      <alignment horizontal="center"/>
    </xf>
    <xf numFmtId="2" fontId="0" fillId="7" borderId="0" pivotButton="0" quotePrefix="0" xfId="0"/>
    <xf numFmtId="2" fontId="4" fillId="6" borderId="0" pivotButton="0" quotePrefix="0" xfId="0"/>
    <xf numFmtId="2" fontId="0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14" fontId="0" fillId="2" borderId="0" applyAlignment="1" pivotButton="0" quotePrefix="0" xfId="0">
      <alignment horizontal="center"/>
    </xf>
    <xf numFmtId="1" fontId="0" fillId="0" borderId="0" pivotButton="0" quotePrefix="0" xfId="0"/>
    <xf numFmtId="2" fontId="3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0" applyAlignment="1" pivotButton="0" quotePrefix="0" xfId="0">
      <alignment vertical="center"/>
    </xf>
    <xf numFmtId="2" fontId="2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8" borderId="0" applyAlignment="1" pivotButton="0" quotePrefix="0" xfId="0">
      <alignment horizontal="center" vertical="center"/>
    </xf>
    <xf numFmtId="2" fontId="0" fillId="3" borderId="0" applyAlignment="1" pivotButton="0" quotePrefix="0" xfId="0">
      <alignment horizontal="center" vertical="center"/>
    </xf>
    <xf numFmtId="2" fontId="0" fillId="7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0" fillId="6" borderId="0" applyAlignment="1" pivotButton="0" quotePrefix="0" xfId="0">
      <alignment horizontal="center" vertical="center"/>
    </xf>
    <xf numFmtId="2" fontId="0" fillId="6" borderId="0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/>
    </xf>
    <xf numFmtId="2" fontId="6" fillId="0" borderId="0" applyAlignment="1" pivotButton="0" quotePrefix="0" xfId="0">
      <alignment horizontal="center" vertical="center"/>
    </xf>
    <xf numFmtId="16" fontId="0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5" borderId="0" applyAlignment="1" pivotButton="0" quotePrefix="0" xfId="0">
      <alignment horizontal="center" wrapText="1"/>
    </xf>
    <xf numFmtId="2" fontId="0" fillId="5" borderId="0" applyAlignment="1" pivotButton="0" quotePrefix="0" xfId="0">
      <alignment horizontal="center"/>
    </xf>
    <xf numFmtId="2" fontId="0" fillId="5" borderId="0" applyAlignment="1" pivotButton="0" quotePrefix="0" xfId="0">
      <alignment horizontal="center" vertical="center"/>
    </xf>
    <xf numFmtId="16" fontId="0" fillId="0" borderId="0" applyAlignment="1" pivotButton="0" quotePrefix="0" xfId="0">
      <alignment horizontal="center" vertical="center"/>
    </xf>
    <xf numFmtId="0" fontId="0" fillId="7" borderId="0" pivotButton="0" quotePrefix="0" xfId="0"/>
    <xf numFmtId="16" fontId="2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  <xf numFmtId="0" fontId="0" fillId="6" borderId="3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right"/>
    </xf>
    <xf numFmtId="0" fontId="0" fillId="10" borderId="0" applyAlignment="1" pivotButton="0" quotePrefix="0" xfId="0">
      <alignment horizontal="center"/>
    </xf>
    <xf numFmtId="0" fontId="0" fillId="10" borderId="0" applyAlignment="1" pivotButton="0" quotePrefix="0" xfId="0">
      <alignment horizontal="center" wrapText="1"/>
    </xf>
    <xf numFmtId="1" fontId="0" fillId="5" borderId="0" applyAlignment="1" pivotButton="0" quotePrefix="0" xfId="0">
      <alignment horizontal="center"/>
    </xf>
    <xf numFmtId="16" fontId="0" fillId="9" borderId="0" pivotButton="0" quotePrefix="0" xfId="0"/>
    <xf numFmtId="0" fontId="0" fillId="11" borderId="0" applyAlignment="1" pivotButton="0" quotePrefix="0" xfId="0">
      <alignment horizontal="center"/>
    </xf>
    <xf numFmtId="2" fontId="0" fillId="12" borderId="0" applyAlignment="1" pivotButton="0" quotePrefix="0" xfId="0">
      <alignment horizontal="center"/>
    </xf>
    <xf numFmtId="2" fontId="0" fillId="7" borderId="0" applyAlignment="1" pivotButton="0" quotePrefix="0" xfId="0">
      <alignment horizontal="center"/>
    </xf>
    <xf numFmtId="0" fontId="0" fillId="0" borderId="0" applyAlignment="1" pivotButton="0" quotePrefix="1" xfId="0">
      <alignment horizontal="center" vertical="center"/>
    </xf>
    <xf numFmtId="9" fontId="0" fillId="0" borderId="0" applyAlignment="1" pivotButton="0" quotePrefix="0" xfId="1">
      <alignment horizontal="center"/>
    </xf>
    <xf numFmtId="2" fontId="0" fillId="0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2" fontId="0" fillId="7" borderId="5" applyAlignment="1" pivotButton="0" quotePrefix="0" xfId="0">
      <alignment horizontal="center" vertical="center"/>
    </xf>
    <xf numFmtId="2" fontId="0" fillId="5" borderId="4" applyAlignment="1" pivotButton="0" quotePrefix="0" xfId="0">
      <alignment horizontal="center" vertical="center"/>
    </xf>
    <xf numFmtId="2" fontId="0" fillId="5" borderId="6" applyAlignment="1" pivotButton="0" quotePrefix="0" xfId="0">
      <alignment horizontal="center" vertical="center"/>
    </xf>
    <xf numFmtId="2" fontId="0" fillId="5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10" borderId="0" pivotButton="0" quotePrefix="0" xfId="0"/>
    <xf numFmtId="2" fontId="0" fillId="10" borderId="0" applyAlignment="1" pivotButton="0" quotePrefix="0" xfId="0">
      <alignment horizontal="center"/>
    </xf>
    <xf numFmtId="0" fontId="0" fillId="10" borderId="0" applyAlignment="1" pivotButton="0" quotePrefix="0" xfId="0">
      <alignment wrapText="1"/>
    </xf>
    <xf numFmtId="2" fontId="0" fillId="0" borderId="1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0" fontId="7" fillId="0" borderId="0" pivotButton="0" quotePrefix="0" xfId="2"/>
    <xf numFmtId="0" fontId="0" fillId="2" borderId="0" applyAlignment="1" pivotButton="0" quotePrefix="0" xfId="0">
      <alignment horizontal="center"/>
    </xf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buymeacoffee.com/theultimatejourney" TargetMode="External" Id="rId1"/></Relationships>
</file>

<file path=xl/worksheets/sheet1.xml><?xml version="1.0" encoding="utf-8"?>
<worksheet xmlns="http://schemas.openxmlformats.org/spreadsheetml/2006/main">
  <sheetPr codeName="Sheet10">
    <outlinePr summaryBelow="1" summaryRight="1"/>
    <pageSetUpPr/>
  </sheetPr>
  <dimension ref="A1:W51"/>
  <sheetViews>
    <sheetView tabSelected="1" zoomScale="94" zoomScaleNormal="222" workbookViewId="0">
      <selection activeCell="A1" sqref="A1:A9"/>
    </sheetView>
  </sheetViews>
  <sheetFormatPr baseColWidth="10" defaultColWidth="8.83203125" defaultRowHeight="15"/>
  <cols>
    <col width="47" bestFit="1" customWidth="1" min="1" max="1"/>
    <col width="29.1640625" bestFit="1" customWidth="1" min="2" max="2"/>
    <col width="26.5" bestFit="1" customWidth="1" min="3" max="3"/>
    <col width="13.83203125" bestFit="1" customWidth="1" min="4" max="4"/>
    <col width="20.5" bestFit="1" customWidth="1" min="5" max="5"/>
    <col width="27.5" bestFit="1" customWidth="1" min="6" max="6"/>
    <col width="20.5" bestFit="1" customWidth="1" min="7" max="7"/>
    <col width="15.5" bestFit="1" customWidth="1" min="8" max="8"/>
    <col width="23.5" bestFit="1" customWidth="1" min="9" max="9"/>
    <col width="24.5" bestFit="1" customWidth="1" style="3" min="10" max="10"/>
    <col width="20.1640625" bestFit="1" customWidth="1" min="11" max="11"/>
    <col width="24.5" bestFit="1" customWidth="1" min="12" max="12"/>
    <col width="35.83203125" bestFit="1" customWidth="1" min="13" max="13"/>
    <col width="21" bestFit="1" customWidth="1" min="14" max="14"/>
    <col width="25.5" bestFit="1" customWidth="1" min="15" max="15"/>
    <col width="26.1640625" bestFit="1" customWidth="1" min="16" max="16"/>
    <col width="23.5" bestFit="1" customWidth="1" min="17" max="17"/>
    <col width="15.5" bestFit="1" customWidth="1" min="18" max="18"/>
    <col width="11.5" bestFit="1" customWidth="1" min="19" max="20"/>
    <col width="24.5" bestFit="1" customWidth="1" min="21" max="21"/>
    <col width="16.1640625" bestFit="1" customWidth="1" min="22" max="22"/>
    <col width="14.5" bestFit="1" customWidth="1" min="23" max="23"/>
  </cols>
  <sheetData>
    <row r="1" ht="16" customHeight="1">
      <c r="A1" s="95" t="n"/>
      <c r="B1" t="inlineStr">
        <is>
          <t>Day</t>
        </is>
      </c>
      <c r="C1" t="inlineStr">
        <is>
          <t>Date</t>
        </is>
      </c>
      <c r="D1" t="inlineStr">
        <is>
          <t>Time</t>
        </is>
      </c>
      <c r="E1" s="3" t="inlineStr">
        <is>
          <t>Saved</t>
        </is>
      </c>
      <c r="F1" t="inlineStr">
        <is>
          <t>Fuel</t>
        </is>
      </c>
      <c r="G1" t="inlineStr">
        <is>
          <t>Bank</t>
        </is>
      </c>
      <c r="H1" t="inlineStr">
        <is>
          <t>Rewards</t>
        </is>
      </c>
      <c r="I1" s="2" t="inlineStr">
        <is>
          <t>Total CC</t>
        </is>
      </c>
    </row>
    <row r="2" ht="16" customHeight="1" thickBot="1">
      <c r="B2" s="4" t="n"/>
      <c r="C2" s="4" t="inlineStr">
        <is>
          <t>00/00/0000</t>
        </is>
      </c>
      <c r="D2" s="5" t="inlineStr">
        <is>
          <t>00:00am EST</t>
        </is>
      </c>
      <c r="E2" s="9" t="n">
        <v>0</v>
      </c>
      <c r="F2" s="7" t="n">
        <v>0</v>
      </c>
      <c r="G2" s="8">
        <f>D3</f>
        <v/>
      </c>
      <c r="H2" s="6" t="n">
        <v>0</v>
      </c>
      <c r="I2" s="6">
        <f>E2+G2</f>
        <v/>
      </c>
      <c r="J2" s="9" t="n"/>
      <c r="K2" s="6" t="n"/>
      <c r="L2" s="6" t="n"/>
      <c r="M2" s="6" t="n"/>
      <c r="N2" s="6" t="n"/>
      <c r="O2" s="6" t="n"/>
      <c r="P2" s="6" t="n"/>
    </row>
    <row r="3" ht="33" customHeight="1" thickBot="1">
      <c r="B3" s="10" t="inlineStr">
        <is>
          <t>BANK</t>
        </is>
      </c>
      <c r="C3" s="11">
        <f>IF(J23&gt;L23,D3,D3-(L23-J23)+G17)</f>
        <v/>
      </c>
      <c r="D3" s="12" t="n"/>
      <c r="E3" s="3" t="n"/>
      <c r="F3" s="6">
        <f>-F2+500</f>
        <v/>
      </c>
      <c r="G3" s="6">
        <f>E2</f>
        <v/>
      </c>
      <c r="H3" t="n">
        <v>0</v>
      </c>
      <c r="I3" s="6">
        <f>F2+C9</f>
        <v/>
      </c>
      <c r="J3" s="13" t="inlineStr">
        <is>
          <t>CM Total 
After Full Attack</t>
        </is>
      </c>
      <c r="K3" s="14" t="n"/>
      <c r="Q3" s="2" t="inlineStr">
        <is>
          <t>Due By Date</t>
        </is>
      </c>
    </row>
    <row r="4" ht="16" customHeight="1">
      <c r="B4" t="inlineStr">
        <is>
          <t>MHOA Savings</t>
        </is>
      </c>
      <c r="C4" s="6">
        <f>D25+D26</f>
        <v/>
      </c>
      <c r="D4" s="22" t="inlineStr">
        <is>
          <t>Power</t>
        </is>
      </c>
      <c r="E4" s="27" t="inlineStr">
        <is>
          <t>Water</t>
        </is>
      </c>
      <c r="F4" s="16">
        <f>F3+F2</f>
        <v/>
      </c>
      <c r="G4" s="16">
        <f>G2+G3</f>
        <v/>
      </c>
      <c r="I4" s="17">
        <f>SUM(I2:I3)</f>
        <v/>
      </c>
      <c r="J4" s="18">
        <f>B12+I4+G17</f>
        <v/>
      </c>
      <c r="K4" s="10">
        <f>IF(J4&gt;=0, "Fuel Up", "Left Over Debt")</f>
        <v/>
      </c>
      <c r="M4" s="19">
        <f>IF(M5 ="&lt;---------------------&gt;","MAXED OUT","")</f>
        <v/>
      </c>
      <c r="N4" s="20" t="inlineStr">
        <is>
          <t>CM Guage</t>
        </is>
      </c>
      <c r="O4" s="21" t="n"/>
      <c r="P4" s="15" t="inlineStr">
        <is>
          <t>Next Goal</t>
        </is>
      </c>
      <c r="Q4" s="14">
        <f>H$13</f>
        <v/>
      </c>
    </row>
    <row r="5">
      <c r="B5" t="inlineStr">
        <is>
          <t>Utilities (Power and Water)</t>
        </is>
      </c>
      <c r="C5" s="6">
        <f>SUM(D5:E5)-E11</f>
        <v/>
      </c>
      <c r="D5" s="22" t="n">
        <v>0</v>
      </c>
      <c r="E5" s="24" t="n">
        <v>0</v>
      </c>
      <c r="F5" s="10" t="inlineStr">
        <is>
          <t>USE</t>
        </is>
      </c>
      <c r="G5" s="6" t="n"/>
      <c r="I5" s="23" t="n"/>
      <c r="J5" s="24" t="n"/>
      <c r="M5" s="19">
        <f>IF(B$12&lt;O5, "&lt;---------------------&gt;", "")</f>
        <v/>
      </c>
      <c r="N5" s="25" t="n"/>
      <c r="O5" s="10" t="n">
        <v>-7500</v>
      </c>
      <c r="P5" s="26">
        <f>IF(J$4&lt;O5, "&lt;", "")</f>
        <v/>
      </c>
    </row>
    <row r="6">
      <c r="B6" t="inlineStr">
        <is>
          <t>Vacation Savings</t>
        </is>
      </c>
      <c r="C6" s="6">
        <f>D27</f>
        <v/>
      </c>
      <c r="D6" s="22">
        <f>0+D27</f>
        <v/>
      </c>
      <c r="E6" s="24">
        <f>0-F6</f>
        <v/>
      </c>
      <c r="F6" s="22" t="n"/>
      <c r="J6" s="9" t="n"/>
      <c r="K6" s="14" t="n"/>
      <c r="M6" s="19">
        <f>IF(B$12&lt;O6, "&lt;---------------------&gt;", "")</f>
        <v/>
      </c>
      <c r="N6" s="25" t="n"/>
      <c r="O6" s="10" t="n">
        <v>-7200</v>
      </c>
      <c r="P6" s="26">
        <f>IF(J$4&lt;O6, "&lt;", "")</f>
        <v/>
      </c>
    </row>
    <row r="7">
      <c r="B7" t="inlineStr">
        <is>
          <t>Emergency Savings</t>
        </is>
      </c>
      <c r="C7" s="6">
        <f>D28</f>
        <v/>
      </c>
      <c r="D7" s="22">
        <f>0+D28</f>
        <v/>
      </c>
      <c r="E7" s="24">
        <f>0-F7</f>
        <v/>
      </c>
      <c r="F7" s="22" t="n">
        <v>0</v>
      </c>
      <c r="J7" s="9" t="n"/>
      <c r="M7" s="19">
        <f>IF(B$12&lt;O7, "&lt;---------------------&gt;", "")</f>
        <v/>
      </c>
      <c r="N7" s="25" t="n"/>
      <c r="O7" s="10" t="n">
        <v>-6900</v>
      </c>
      <c r="P7" s="26">
        <f>IF(J$4&lt;O7, "&lt;", "")</f>
        <v/>
      </c>
    </row>
    <row r="8">
      <c r="B8" t="inlineStr">
        <is>
          <t>Boost Savings</t>
        </is>
      </c>
      <c r="C8" s="6">
        <f>D29</f>
        <v/>
      </c>
      <c r="D8" s="22">
        <f>0+D29</f>
        <v/>
      </c>
      <c r="E8" s="24">
        <f>0-F8</f>
        <v/>
      </c>
      <c r="F8" s="22" t="n">
        <v>0</v>
      </c>
      <c r="J8" s="9" t="n"/>
      <c r="M8" s="19">
        <f>IF(B$12&lt;O8, "&lt;---------------------&gt;", "")</f>
        <v/>
      </c>
      <c r="N8" s="25" t="n"/>
      <c r="O8" s="10" t="n">
        <v>-6600</v>
      </c>
      <c r="P8" s="26">
        <f>IF(J$4&lt;O8, "&lt;", "")</f>
        <v/>
      </c>
    </row>
    <row r="9" ht="75" customHeight="1">
      <c r="B9" s="34" t="inlineStr">
        <is>
          <t>Pay Yourself Savings</t>
        </is>
      </c>
      <c r="C9" s="81">
        <f>SUM(D9:E9)</f>
        <v/>
      </c>
      <c r="D9" s="22" t="n">
        <v>0</v>
      </c>
      <c r="E9" s="24">
        <f>0-F9</f>
        <v/>
      </c>
      <c r="F9" s="22" t="n">
        <v>0</v>
      </c>
      <c r="G9" s="6" t="n"/>
      <c r="J9" s="9" t="n"/>
      <c r="M9" s="19">
        <f>IF(B$12&lt;O9, "&lt;---------------------&gt;", "")</f>
        <v/>
      </c>
      <c r="N9" s="25" t="n"/>
      <c r="O9" s="10" t="n">
        <v>-6300</v>
      </c>
      <c r="P9" s="26">
        <f>IF(J$4&lt;O9, "&lt;", "")</f>
        <v/>
      </c>
    </row>
    <row r="10" ht="32" customHeight="1">
      <c r="A10" t="inlineStr">
        <is>
          <t>Quick Note:</t>
        </is>
      </c>
      <c r="B10" t="inlineStr">
        <is>
          <t>Unorganized Savings</t>
        </is>
      </c>
      <c r="C10" s="6">
        <f>C3</f>
        <v/>
      </c>
      <c r="D10" s="22" t="n">
        <v>0</v>
      </c>
      <c r="E10" s="24" t="n"/>
      <c r="F10" s="6" t="n"/>
      <c r="H10" s="27" t="inlineStr">
        <is>
          <t>Estimated Pay Drop Date</t>
        </is>
      </c>
      <c r="J10" s="9" t="n"/>
      <c r="M10" s="19">
        <f>IF(B$12&lt;O10, "&lt;---------------------&gt;", "")</f>
        <v/>
      </c>
      <c r="N10" s="25" t="n"/>
      <c r="O10" s="10" t="n">
        <v>-6000</v>
      </c>
      <c r="P10" s="26">
        <f>IF(J$4&lt;O10, "&lt;", "")</f>
        <v/>
      </c>
    </row>
    <row r="11" ht="16" customHeight="1">
      <c r="A11" s="94" t="inlineStr">
        <is>
          <t>https://buymeacoffee.com/theultimatejourney</t>
        </is>
      </c>
      <c r="B11" t="inlineStr">
        <is>
          <t>Battle Notification:</t>
        </is>
      </c>
      <c r="C11" s="28">
        <f>IF(B13&gt;0,"There is a CM Approaching","All Clear")</f>
        <v/>
      </c>
      <c r="D11" t="inlineStr">
        <is>
          <t>Holding Tank</t>
        </is>
      </c>
      <c r="E11" s="9">
        <f>F6+F7+F8+F9</f>
        <v/>
      </c>
      <c r="H11" s="29" t="n"/>
      <c r="M11" s="19">
        <f>IF(B$12&lt;O11, "&lt;---------------------&gt;", "")</f>
        <v/>
      </c>
      <c r="N11" s="25" t="n"/>
      <c r="O11" s="10" t="n">
        <v>-5700</v>
      </c>
      <c r="P11" s="26">
        <f>IF(J$4&lt;O11, "&lt;", "")</f>
        <v/>
      </c>
      <c r="Q11" s="30" t="n"/>
    </row>
    <row r="12" ht="16" customHeight="1">
      <c r="A12" s="10" t="inlineStr">
        <is>
          <t>CURRENT DEBT</t>
        </is>
      </c>
      <c r="B12" s="31">
        <f>-B15</f>
        <v/>
      </c>
      <c r="C12" s="10" t="inlineStr">
        <is>
          <t>Minimum</t>
        </is>
      </c>
      <c r="D12" s="32" t="inlineStr">
        <is>
          <t>Left 2 Go</t>
        </is>
      </c>
      <c r="E12" s="13" t="inlineStr">
        <is>
          <t>Next Attack</t>
        </is>
      </c>
      <c r="F12" s="13" t="inlineStr">
        <is>
          <t>Remaining AFTER Attack</t>
        </is>
      </c>
      <c r="G12" s="10" t="inlineStr">
        <is>
          <t>Countdown</t>
        </is>
      </c>
      <c r="H12" s="10" t="inlineStr">
        <is>
          <t>Final Due Date</t>
        </is>
      </c>
      <c r="I12" s="10" t="inlineStr">
        <is>
          <t>Payment</t>
        </is>
      </c>
      <c r="J12" s="10" t="inlineStr">
        <is>
          <t>Last Statement Balance</t>
        </is>
      </c>
      <c r="K12" s="10" t="inlineStr">
        <is>
          <t>Damage +/-</t>
        </is>
      </c>
      <c r="L12" s="10" t="inlineStr">
        <is>
          <t>Next Minimum</t>
        </is>
      </c>
      <c r="M12" s="19">
        <f>IF(B$12&lt;O12, "&lt;---------------------&gt;", "")</f>
        <v/>
      </c>
      <c r="N12" s="33" t="n"/>
      <c r="O12" s="10" t="n">
        <v>-5400</v>
      </c>
      <c r="P12" s="26">
        <f>IF(J$4&lt;O12, "&lt;", "")</f>
        <v/>
      </c>
      <c r="Q12" s="30" t="n"/>
    </row>
    <row r="13">
      <c r="A13" s="34" t="inlineStr">
        <is>
          <t>CM1</t>
        </is>
      </c>
      <c r="B13" s="22" t="n"/>
      <c r="C13" s="35" t="n">
        <v>0</v>
      </c>
      <c r="D13" s="22">
        <f>B13-C13</f>
        <v/>
      </c>
      <c r="E13" s="36">
        <f>I13</f>
        <v/>
      </c>
      <c r="F13" s="22">
        <f>B13-E13</f>
        <v/>
      </c>
      <c r="G13" s="37">
        <f>IFERROR(H13-C2, "")</f>
        <v/>
      </c>
      <c r="H13" s="29" t="n"/>
      <c r="I13" s="22" t="n"/>
      <c r="J13" s="24">
        <f>L13</f>
        <v/>
      </c>
      <c r="K13" s="10" t="inlineStr">
        <is>
          <t>+</t>
        </is>
      </c>
      <c r="L13" s="22">
        <f>C13</f>
        <v/>
      </c>
      <c r="M13" s="19">
        <f>IF(B$12&lt;O13, "&lt;---------------------&gt;", "")</f>
        <v/>
      </c>
      <c r="N13" s="33" t="n"/>
      <c r="O13" s="10" t="n">
        <v>-5100</v>
      </c>
      <c r="P13" s="26">
        <f>IF(J$4&lt;O13, "&lt;", "")</f>
        <v/>
      </c>
      <c r="Q13" s="30" t="n"/>
    </row>
    <row r="14">
      <c r="A14" s="34" t="inlineStr">
        <is>
          <t>CM2</t>
        </is>
      </c>
      <c r="B14" s="22" t="n"/>
      <c r="C14" s="35" t="n">
        <v>0</v>
      </c>
      <c r="D14" s="22">
        <f>B14-C14</f>
        <v/>
      </c>
      <c r="E14" s="36">
        <f>I14</f>
        <v/>
      </c>
      <c r="F14" s="22">
        <f>B14-E14</f>
        <v/>
      </c>
      <c r="G14" s="37">
        <f>IFERROR(H14-C2, "")</f>
        <v/>
      </c>
      <c r="H14" s="38" t="n"/>
      <c r="I14" s="22" t="n"/>
      <c r="J14" s="24">
        <f>L14</f>
        <v/>
      </c>
      <c r="K14" s="10" t="inlineStr">
        <is>
          <t>+</t>
        </is>
      </c>
      <c r="L14" s="22">
        <f>C14</f>
        <v/>
      </c>
      <c r="M14" s="19">
        <f>IF(B$12&lt;O14, "&lt;---------------------&gt;", "")</f>
        <v/>
      </c>
      <c r="N14" s="33" t="n"/>
      <c r="O14" s="10" t="n">
        <v>-4800</v>
      </c>
      <c r="P14" s="26">
        <f>IF(J$4&lt;O14, "&lt;", "")</f>
        <v/>
      </c>
      <c r="Q14" s="30" t="n"/>
    </row>
    <row r="15">
      <c r="A15" s="34" t="inlineStr">
        <is>
          <t>CM Total</t>
        </is>
      </c>
      <c r="B15" s="58">
        <f>SUM(B13:B14)</f>
        <v/>
      </c>
      <c r="C15" s="35">
        <f>SUM(C13:C14)</f>
        <v/>
      </c>
      <c r="D15" s="22">
        <f>SUM(D13:D14)</f>
        <v/>
      </c>
      <c r="E15" s="36">
        <f>SUM(E13:E14)</f>
        <v/>
      </c>
      <c r="F15" s="40">
        <f>SUM(F13:F14)</f>
        <v/>
      </c>
      <c r="G15" s="37" t="n"/>
      <c r="H15" s="10" t="inlineStr">
        <is>
          <t>Total Damage</t>
        </is>
      </c>
      <c r="I15" s="41">
        <f>SUM(I13:I14)</f>
        <v/>
      </c>
      <c r="J15" s="24">
        <f>SUM(J13:J14)</f>
        <v/>
      </c>
      <c r="K15" s="10" t="inlineStr">
        <is>
          <t>+</t>
        </is>
      </c>
      <c r="L15" s="22">
        <f>SUM(L13:L14)</f>
        <v/>
      </c>
      <c r="M15" s="19">
        <f>IF(B$12&lt;O15, "&lt;---------------------&gt;", "")</f>
        <v/>
      </c>
      <c r="N15" s="33" t="n"/>
      <c r="O15" s="10" t="n">
        <v>-4500</v>
      </c>
      <c r="P15" s="26">
        <f>IF(J$4&lt;O15, "&lt;", "")</f>
        <v/>
      </c>
      <c r="Q15" s="30" t="n"/>
    </row>
    <row r="16">
      <c r="B16" s="22" t="n"/>
      <c r="C16" s="35" t="n"/>
      <c r="D16" t="n">
        <v>0</v>
      </c>
      <c r="E16" s="43" t="inlineStr">
        <is>
          <t>.</t>
        </is>
      </c>
      <c r="J16" s="44" t="n"/>
      <c r="K16" s="45" t="n"/>
      <c r="M16" s="19">
        <f>IF(B$12&lt;O16, "&lt;---------------------&gt;", "")</f>
        <v/>
      </c>
      <c r="N16" s="33" t="n"/>
      <c r="O16" s="10" t="n">
        <v>-4200</v>
      </c>
      <c r="P16" s="26">
        <f>IF(J$4&lt;O16, "&lt;", "")</f>
        <v/>
      </c>
      <c r="Q16" s="30" t="n"/>
    </row>
    <row r="17">
      <c r="A17" s="2" t="inlineStr">
        <is>
          <t>Beginning Stock</t>
        </is>
      </c>
      <c r="B17" s="46" t="n">
        <v>0</v>
      </c>
      <c r="C17" s="10" t="inlineStr">
        <is>
          <t>Increase or Decrease</t>
        </is>
      </c>
      <c r="D17" s="47" t="n">
        <v>0</v>
      </c>
      <c r="F17" s="48" t="inlineStr">
        <is>
          <t>Replenishment</t>
        </is>
      </c>
      <c r="G17" s="49" t="n"/>
      <c r="H17" s="10" t="n"/>
      <c r="J17" s="44" t="n"/>
      <c r="K17" s="50" t="n"/>
      <c r="M17" s="19">
        <f>IF(B$12&lt;O17, "&lt;---------------------&gt;", "")</f>
        <v/>
      </c>
      <c r="N17" s="33" t="n"/>
      <c r="O17" s="10" t="n">
        <v>-3900</v>
      </c>
      <c r="P17" s="26">
        <f>IF(J$4&lt;O17, "&lt;", "")</f>
        <v/>
      </c>
      <c r="Q17" s="30" t="n"/>
    </row>
    <row r="18">
      <c r="A18" t="n">
        <v>1</v>
      </c>
      <c r="B18" s="46" t="n">
        <v>0</v>
      </c>
      <c r="C18" s="15">
        <f>IF(B28&gt;B17,"Increase","Decrease")</f>
        <v/>
      </c>
      <c r="D18" s="51">
        <f>B28-B17</f>
        <v/>
      </c>
      <c r="E18" s="43" t="n"/>
      <c r="F18" t="inlineStr">
        <is>
          <t>Estimated Pay Drop Date</t>
        </is>
      </c>
      <c r="G18" s="15" t="n"/>
      <c r="H18" s="15" t="n"/>
      <c r="M18" s="19">
        <f>IF(B$12&lt;O18, "&lt;---------------------&gt;", "")</f>
        <v/>
      </c>
      <c r="N18" s="33" t="n"/>
      <c r="O18" s="10" t="n">
        <v>-3600</v>
      </c>
      <c r="P18" s="26">
        <f>IF(J$4&lt;O18, "&lt;", "")</f>
        <v/>
      </c>
      <c r="Q18" s="30" t="n"/>
    </row>
    <row r="19">
      <c r="A19" t="n">
        <v>2</v>
      </c>
      <c r="B19" s="46" t="n">
        <v>0</v>
      </c>
      <c r="D19" s="10" t="n">
        <v>0</v>
      </c>
      <c r="E19" t="inlineStr">
        <is>
          <t xml:space="preserve">Predicted Pay Drop </t>
        </is>
      </c>
      <c r="F19" s="52">
        <f>H11</f>
        <v/>
      </c>
      <c r="G19" s="10" t="n"/>
      <c r="H19" s="15" t="inlineStr">
        <is>
          <t>Days</t>
        </is>
      </c>
      <c r="J19" s="15" t="inlineStr">
        <is>
          <t>Monthly Minimum</t>
        </is>
      </c>
      <c r="K19" s="15" t="inlineStr">
        <is>
          <t>Status</t>
        </is>
      </c>
      <c r="L19" s="53">
        <f>H13</f>
        <v/>
      </c>
      <c r="M19" s="19">
        <f>IF(B$12&lt;O19, "&lt;---------------------&gt;", "")</f>
        <v/>
      </c>
      <c r="N19" s="33" t="n"/>
      <c r="O19" s="10" t="n">
        <v>-3300</v>
      </c>
      <c r="P19" s="26">
        <f>IF(J$4&lt;O19, "&lt;", "")</f>
        <v/>
      </c>
      <c r="Q19" s="30" t="n"/>
    </row>
    <row r="20" ht="17" customHeight="1" thickBot="1">
      <c r="A20" t="n">
        <v>3</v>
      </c>
      <c r="B20" s="46" t="n">
        <v>0</v>
      </c>
      <c r="D20" s="10" t="n">
        <v>0</v>
      </c>
      <c r="E20" s="1" t="n"/>
      <c r="F20" s="10" t="inlineStr">
        <is>
          <t>CM 1 Due On</t>
        </is>
      </c>
      <c r="G20" s="54" t="inlineStr">
        <is>
          <t>Days Left</t>
        </is>
      </c>
      <c r="H20" s="55" t="inlineStr">
        <is>
          <t>Until</t>
        </is>
      </c>
      <c r="I20" s="56" t="inlineStr">
        <is>
          <t>CM Minimum</t>
        </is>
      </c>
      <c r="J20" s="57">
        <f>J15</f>
        <v/>
      </c>
      <c r="K20" s="54">
        <f>IF(J20 &gt;=L20, "Paid", "Due")</f>
        <v/>
      </c>
      <c r="L20" s="58">
        <f>L15</f>
        <v/>
      </c>
      <c r="M20" s="19">
        <f>IF(B$12&lt;O20, "&lt;---------------------&gt;", "")</f>
        <v/>
      </c>
      <c r="N20" s="33" t="n"/>
      <c r="O20" s="10" t="n">
        <v>-3000</v>
      </c>
      <c r="P20" s="26">
        <f>IF(J$4&lt;O20, "&lt;", "")</f>
        <v/>
      </c>
      <c r="Q20" s="30" t="n"/>
    </row>
    <row r="21" ht="49" customHeight="1" thickBot="1">
      <c r="A21" t="n">
        <v>4</v>
      </c>
      <c r="B21" s="46" t="n">
        <v>0</v>
      </c>
      <c r="D21" s="10" t="n">
        <v>0</v>
      </c>
      <c r="E21" s="1" t="n"/>
      <c r="F21" s="59">
        <f>H13</f>
        <v/>
      </c>
      <c r="G21" s="82">
        <f>IFERROR(F21-E23, "")</f>
        <v/>
      </c>
      <c r="H21" s="88" t="inlineStr">
        <is>
          <t>Next CM1 Statement 
Due Date</t>
        </is>
      </c>
      <c r="I21" s="69" t="inlineStr">
        <is>
          <t>Mortgage</t>
        </is>
      </c>
      <c r="J21" s="58">
        <f>D25</f>
        <v/>
      </c>
      <c r="K21" s="82">
        <f>IF(J21 =L21, "Paid", "Due")</f>
        <v/>
      </c>
      <c r="L21" s="58">
        <f>D25</f>
        <v/>
      </c>
      <c r="M21" s="19">
        <f>IF(B$12&lt;O21, "&lt;---------------------&gt;", "")</f>
        <v/>
      </c>
      <c r="N21" s="33" t="n"/>
      <c r="O21" s="10" t="n">
        <v>-2700</v>
      </c>
      <c r="P21" s="26">
        <f>IF(J$4&lt;O21, "&lt;", "")</f>
        <v/>
      </c>
      <c r="Q21" s="30" t="n"/>
    </row>
    <row r="22" ht="17" customHeight="1" thickBot="1">
      <c r="A22" t="n">
        <v>5</v>
      </c>
      <c r="B22" s="46" t="n">
        <v>0</v>
      </c>
      <c r="D22" s="10" t="n">
        <v>0</v>
      </c>
      <c r="E22" s="1" t="n"/>
      <c r="F22" s="10" t="inlineStr">
        <is>
          <t>CM 2 Due On</t>
        </is>
      </c>
      <c r="G22" s="54" t="inlineStr">
        <is>
          <t>Days Left</t>
        </is>
      </c>
      <c r="H22" s="55" t="inlineStr">
        <is>
          <t>Until</t>
        </is>
      </c>
      <c r="I22" s="56" t="inlineStr">
        <is>
          <t>HOA</t>
        </is>
      </c>
      <c r="J22" s="57">
        <f>D26</f>
        <v/>
      </c>
      <c r="K22" s="54">
        <f>IF(J22 =L22, "Paid", "Due")</f>
        <v/>
      </c>
      <c r="L22" s="58">
        <f>D26</f>
        <v/>
      </c>
      <c r="M22" s="19">
        <f>IF(B$12&lt;O22, "&lt;---------------------&gt;", "")</f>
        <v/>
      </c>
      <c r="N22" s="60" t="n"/>
      <c r="O22" s="10" t="n">
        <v>-2400</v>
      </c>
      <c r="P22" s="26">
        <f>IF(J$4&lt;O22, "&lt;", "")</f>
        <v/>
      </c>
      <c r="Q22" s="30" t="n"/>
    </row>
    <row r="23" ht="49" customHeight="1" thickBot="1">
      <c r="A23" t="n">
        <v>6</v>
      </c>
      <c r="B23" s="46" t="n">
        <v>0</v>
      </c>
      <c r="D23" s="10" t="n">
        <v>0</v>
      </c>
      <c r="E23" s="38">
        <f>C2</f>
        <v/>
      </c>
      <c r="F23" s="61">
        <f>H14</f>
        <v/>
      </c>
      <c r="G23" s="82">
        <f>IFERROR(F23-E23, "")</f>
        <v/>
      </c>
      <c r="H23" s="88" t="inlineStr">
        <is>
          <t>Next CM2 Statement 
Due Date</t>
        </is>
      </c>
      <c r="I23" s="58" t="inlineStr">
        <is>
          <t>Available</t>
        </is>
      </c>
      <c r="J23" s="18">
        <f>SUM(J20:J22)</f>
        <v/>
      </c>
      <c r="K23" s="82">
        <f>IF(J23 =L23, "Paid", "Due")</f>
        <v/>
      </c>
      <c r="L23" s="58">
        <f>SUM(L20:L22)</f>
        <v/>
      </c>
      <c r="M23" s="19">
        <f>IF(B$12&lt;O23, "&lt;---------------------&gt;", "")</f>
        <v/>
      </c>
      <c r="N23" s="60" t="n"/>
      <c r="O23" s="10" t="n">
        <v>-2100</v>
      </c>
      <c r="P23" s="26">
        <f>IF(J$4&lt;O23, "&lt;", "")</f>
        <v/>
      </c>
      <c r="Q23" s="30" t="n"/>
    </row>
    <row r="24" ht="16" customHeight="1" thickBot="1">
      <c r="A24" t="n">
        <v>7</v>
      </c>
      <c r="B24" s="46" t="n">
        <v>0</v>
      </c>
      <c r="C24" s="15" t="inlineStr">
        <is>
          <t>TANK</t>
        </is>
      </c>
      <c r="D24" s="10" t="n">
        <v>0</v>
      </c>
      <c r="E24" s="62" t="inlineStr">
        <is>
          <t>As-Of</t>
        </is>
      </c>
      <c r="G24" s="89" t="n"/>
      <c r="H24" s="89" t="n"/>
      <c r="I24" s="90" t="n"/>
      <c r="J24" s="91" t="n"/>
      <c r="K24" s="72" t="n"/>
      <c r="L24" s="89" t="n"/>
      <c r="M24" s="19">
        <f>IF(B$12&lt;O24, "&lt;---------------------&gt;", "")</f>
        <v/>
      </c>
      <c r="N24" s="60" t="n"/>
      <c r="O24" s="10" t="n">
        <v>-1800</v>
      </c>
      <c r="P24" s="26">
        <f>IF(J$4&lt;O24, "&lt;", "")</f>
        <v/>
      </c>
      <c r="Q24" s="30" t="n"/>
    </row>
    <row r="25" ht="37.25" customHeight="1" thickTop="1">
      <c r="A25" t="n">
        <v>8</v>
      </c>
      <c r="B25" s="46" t="n">
        <v>0</v>
      </c>
      <c r="C25" s="2">
        <f>I21</f>
        <v/>
      </c>
      <c r="D25" s="62" t="n">
        <v>0</v>
      </c>
      <c r="E25" s="93">
        <f>C$2</f>
        <v/>
      </c>
      <c r="G25" s="13" t="inlineStr">
        <is>
          <t>Remaining Fuel</t>
        </is>
      </c>
      <c r="H25" s="83">
        <f>F2</f>
        <v/>
      </c>
      <c r="I25" s="63" t="inlineStr">
        <is>
          <t>Current POR</t>
        </is>
      </c>
      <c r="J25" s="63" t="inlineStr">
        <is>
          <t>All In POR</t>
        </is>
      </c>
      <c r="K25" s="64" t="inlineStr">
        <is>
          <t>Target All-In POR (ROI)</t>
        </is>
      </c>
      <c r="L25" s="65" t="inlineStr">
        <is>
          <t>Spending Advice</t>
        </is>
      </c>
      <c r="M25" s="19">
        <f>IF(B$12&lt;O25, "&lt;---------------------&gt;", "")</f>
        <v/>
      </c>
      <c r="N25" s="60" t="n"/>
      <c r="O25" s="10" t="n">
        <v>-1500</v>
      </c>
      <c r="P25" s="26">
        <f>IF(J$4&lt;O25, "&lt;", "")</f>
        <v/>
      </c>
      <c r="Q25" s="30" t="n"/>
    </row>
    <row r="26" ht="16" customHeight="1" thickBot="1">
      <c r="A26" t="n">
        <v>9</v>
      </c>
      <c r="B26" s="46" t="n">
        <v>0</v>
      </c>
      <c r="C26" s="2">
        <f>I22</f>
        <v/>
      </c>
      <c r="D26" s="62" t="n">
        <v>0</v>
      </c>
      <c r="E26" s="93">
        <f>C$2</f>
        <v/>
      </c>
      <c r="H26" s="84">
        <f>G2</f>
        <v/>
      </c>
      <c r="I26" s="66">
        <f>G17+C3+F2-I15-M50+E11</f>
        <v/>
      </c>
      <c r="J26" s="66">
        <f>G17+C3+C8+F2-M50</f>
        <v/>
      </c>
      <c r="K26" s="67" t="n">
        <v>5000</v>
      </c>
      <c r="L26" s="68">
        <f>IF(I26 &lt;= 0, "Freeze Credit Spending","Stable Account")</f>
        <v/>
      </c>
      <c r="M26" s="19">
        <f>IF(B$12&lt;O26, "&lt;---------------------&gt;", "")</f>
        <v/>
      </c>
      <c r="N26" s="60" t="n"/>
      <c r="O26" s="10" t="n">
        <v>-1200</v>
      </c>
      <c r="P26" s="26">
        <f>IF(J$4&lt;O26, "&lt;", "")</f>
        <v/>
      </c>
      <c r="Q26" s="30" t="n"/>
    </row>
    <row r="27">
      <c r="A27" t="n">
        <v>10</v>
      </c>
      <c r="B27" s="46" t="n">
        <v>0</v>
      </c>
      <c r="C27" s="2">
        <f>B6</f>
        <v/>
      </c>
      <c r="D27" s="62" t="n">
        <v>0</v>
      </c>
      <c r="E27" s="93">
        <f>C$2</f>
        <v/>
      </c>
      <c r="G27" s="15" t="inlineStr">
        <is>
          <t>Total</t>
        </is>
      </c>
      <c r="H27" s="85">
        <f>SUM(H25:H26)</f>
        <v/>
      </c>
      <c r="I27" s="37" t="n"/>
      <c r="J27" s="66" t="n"/>
      <c r="K27" s="10" t="n"/>
      <c r="L27" s="10" t="n"/>
      <c r="M27" s="19">
        <f>IF(B$12&lt;O27, "&lt;---------------------&gt;", "")</f>
        <v/>
      </c>
      <c r="N27" s="60" t="n"/>
      <c r="O27" s="10" t="n">
        <v>-900</v>
      </c>
      <c r="P27" s="26">
        <f>IF(J$4&lt;O27, "&lt;", "")</f>
        <v/>
      </c>
      <c r="Q27" s="30" t="n"/>
    </row>
    <row r="28">
      <c r="A28" s="2" t="inlineStr">
        <is>
          <t>Ending Stock</t>
        </is>
      </c>
      <c r="B28" s="46" t="n">
        <v>0</v>
      </c>
      <c r="C28" s="2">
        <f>B7</f>
        <v/>
      </c>
      <c r="D28" s="22" t="n">
        <v>0</v>
      </c>
      <c r="E28" s="93">
        <f>C$2</f>
        <v/>
      </c>
      <c r="G28" s="10" t="inlineStr">
        <is>
          <t>Minus Tank</t>
        </is>
      </c>
      <c r="H28" s="86">
        <f>H27-D30</f>
        <v/>
      </c>
      <c r="I28" s="37" t="n"/>
      <c r="J28" s="13" t="n"/>
      <c r="K28" s="10" t="n"/>
      <c r="L28" s="10" t="n"/>
      <c r="M28" s="19">
        <f>IF(B$12&lt;O28, "&lt;---------------------&gt;", "")</f>
        <v/>
      </c>
      <c r="N28" s="60" t="n"/>
      <c r="O28" s="10" t="n">
        <v>-600</v>
      </c>
      <c r="P28" s="26">
        <f>IF(J$4&lt;O28, "&lt;", "")</f>
        <v/>
      </c>
      <c r="Q28" s="30" t="n"/>
    </row>
    <row r="29" ht="16" customHeight="1" thickBot="1">
      <c r="A29" s="2" t="n"/>
      <c r="B29" s="46" t="n"/>
      <c r="C29" s="2">
        <f>B8</f>
        <v/>
      </c>
      <c r="D29" s="22" t="n">
        <v>0</v>
      </c>
      <c r="E29" s="93">
        <f>C$2</f>
        <v/>
      </c>
      <c r="G29" t="inlineStr">
        <is>
          <t>With Replenishment</t>
        </is>
      </c>
      <c r="H29" s="87">
        <f>H27+G17</f>
        <v/>
      </c>
      <c r="I29" s="10" t="n"/>
      <c r="J29" s="13" t="n"/>
      <c r="K29" s="10" t="n"/>
      <c r="L29" s="10" t="n"/>
      <c r="M29" s="19">
        <f>IF(B$12&lt;O29, "&lt;---------------------&gt;", "")</f>
        <v/>
      </c>
      <c r="N29" s="60" t="n"/>
      <c r="O29" s="10" t="n">
        <v>-300</v>
      </c>
      <c r="P29" s="26">
        <f>IF(J$4&lt;O29, "&lt;", "")</f>
        <v/>
      </c>
      <c r="Q29" s="30" t="n"/>
    </row>
    <row r="30" ht="16" customHeight="1" thickBot="1">
      <c r="B30" s="92" t="n"/>
      <c r="C30" s="2" t="inlineStr">
        <is>
          <t>Total</t>
        </is>
      </c>
      <c r="D30" s="22">
        <f>SUM(D25:D29)</f>
        <v/>
      </c>
      <c r="H30" s="10" t="n"/>
      <c r="I30" s="10" t="n"/>
      <c r="J30" s="13" t="n"/>
      <c r="K30" s="10" t="n"/>
      <c r="L30" s="10" t="n"/>
      <c r="M30" s="19">
        <f>IF(B$12&lt;O30, "&lt;---------------------&gt;", "")</f>
        <v/>
      </c>
      <c r="N30" s="60" t="n"/>
      <c r="O30" s="10" t="n">
        <v>0</v>
      </c>
      <c r="P30" s="26">
        <f>IF(J$4&lt;O30, "&lt;", "")</f>
        <v/>
      </c>
      <c r="Q30" s="30" t="n"/>
    </row>
    <row r="31">
      <c r="B31" s="22" t="n"/>
      <c r="C31" s="2" t="n"/>
      <c r="D31" s="10" t="n"/>
      <c r="H31" s="10" t="n"/>
      <c r="I31" s="10" t="n"/>
      <c r="J31" s="13" t="n"/>
      <c r="K31" s="10" t="n"/>
      <c r="L31" s="10" t="n"/>
      <c r="M31" s="10" t="n"/>
      <c r="N31" s="10" t="n"/>
      <c r="O31" s="10" t="n"/>
      <c r="P31" s="10" t="n"/>
      <c r="Q31" s="10" t="n"/>
    </row>
    <row r="32">
      <c r="B32" s="6" t="n"/>
      <c r="H32" s="10" t="n"/>
      <c r="I32" s="10" t="n"/>
      <c r="J32" s="13" t="n"/>
      <c r="K32" s="10" t="n"/>
      <c r="L32" s="10" t="n"/>
      <c r="M32" s="10" t="n"/>
      <c r="N32" s="10" t="n"/>
      <c r="O32" s="10" t="n"/>
      <c r="P32" s="10" t="n"/>
      <c r="Q32" s="10" t="n"/>
      <c r="W32" s="10" t="n"/>
    </row>
    <row r="33" ht="32" customHeight="1">
      <c r="B33" s="2" t="inlineStr">
        <is>
          <t>From and Forward</t>
        </is>
      </c>
      <c r="C33" s="15" t="n"/>
      <c r="D33" s="15" t="n"/>
      <c r="E33" s="15" t="n"/>
      <c r="F33" s="15" t="n"/>
      <c r="G33" s="27" t="n"/>
      <c r="H33" s="27" t="n"/>
      <c r="I33" s="27" t="n"/>
      <c r="J33" s="15" t="n"/>
      <c r="K33" s="15" t="inlineStr">
        <is>
          <t>Payment (+)</t>
        </is>
      </c>
      <c r="L33" s="15" t="inlineStr">
        <is>
          <t>Payment Reversal (-)</t>
        </is>
      </c>
      <c r="M33" s="69" t="inlineStr">
        <is>
          <t>2 Week Spending</t>
        </is>
      </c>
      <c r="N33" s="69" t="inlineStr">
        <is>
          <t xml:space="preserve">2 Week Budget Limit </t>
        </is>
      </c>
      <c r="O33" s="70" t="inlineStr">
        <is>
          <t>Maximum Budget Allowance Per Day</t>
        </is>
      </c>
      <c r="P33" s="69" t="inlineStr">
        <is>
          <t>Suggested MEAN Budget Allowance Per Day</t>
        </is>
      </c>
      <c r="Q33" s="63" t="inlineStr">
        <is>
          <t>NEW Preferred Budget Allowance Per Day</t>
        </is>
      </c>
      <c r="T33" s="6" t="n"/>
    </row>
    <row r="34">
      <c r="A34" s="71" t="n"/>
      <c r="B34" s="71" t="n"/>
      <c r="C34" s="72" t="n"/>
      <c r="D34" s="72" t="n"/>
      <c r="E34" s="72" t="n"/>
      <c r="F34" s="72" t="n"/>
      <c r="G34" s="73" t="n"/>
      <c r="H34" s="73" t="n"/>
      <c r="I34" s="73" t="n"/>
      <c r="J34" s="72" t="n"/>
      <c r="K34" s="72" t="n"/>
      <c r="L34" s="72" t="n"/>
      <c r="M34" s="69" t="n"/>
      <c r="N34" s="74">
        <f>IFERROR(I26, 0)</f>
        <v/>
      </c>
      <c r="O34" s="37">
        <f>IFERROR(N34/Q50, 0)</f>
        <v/>
      </c>
      <c r="P34" s="37">
        <f>IFERROR(O34/Q50, 0)</f>
        <v/>
      </c>
      <c r="Q34" s="37">
        <f>IFERROR(P34/Q50, 0)</f>
        <v/>
      </c>
    </row>
    <row r="35">
      <c r="A35" s="71" t="inlineStr">
        <is>
          <t>Monday</t>
        </is>
      </c>
      <c r="B35" s="75">
        <f>C$2</f>
        <v/>
      </c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57">
        <f>SUM(C35:I35)</f>
        <v/>
      </c>
      <c r="N35" s="77">
        <f>IFERROR(N34-M35, 0)</f>
        <v/>
      </c>
      <c r="O35" s="77">
        <f>IFERROR(O34-M35/Q$50, 0)</f>
        <v/>
      </c>
      <c r="P35" s="77">
        <f>IFERROR(P34-M35/Q$50, 0)</f>
        <v/>
      </c>
      <c r="Q35" s="77">
        <f>IFERROR(Q34-M35/Q$50, 0)</f>
        <v/>
      </c>
    </row>
    <row r="36">
      <c r="A36" s="71" t="inlineStr">
        <is>
          <t>Tuesday</t>
        </is>
      </c>
      <c r="B36" s="75">
        <f>IFERROR(C$2+1, "")</f>
        <v/>
      </c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  <c r="L36" s="76" t="n"/>
      <c r="M36" s="57">
        <f>SUM(C36:L36)</f>
        <v/>
      </c>
      <c r="N36" s="77">
        <f>IFERROR(N35-M36/Q$50, 0)</f>
        <v/>
      </c>
      <c r="O36" s="77">
        <f>IFERROR(O35-M36/Q$50, 0)</f>
        <v/>
      </c>
      <c r="P36" s="77">
        <f>IFERROR(P35-M36/Q$50, 0)</f>
        <v/>
      </c>
      <c r="Q36" s="77">
        <f>IFERROR(Q35-M36/Q$50, 0)</f>
        <v/>
      </c>
    </row>
    <row r="37">
      <c r="A37" s="71" t="inlineStr">
        <is>
          <t>Wednesday</t>
        </is>
      </c>
      <c r="B37" s="75">
        <f>IFERROR(C$2+3, "")</f>
        <v/>
      </c>
      <c r="C37" s="76" t="n"/>
      <c r="D37" s="76" t="n"/>
      <c r="E37" s="76" t="n"/>
      <c r="F37" s="76" t="n"/>
      <c r="G37" s="76" t="n"/>
      <c r="H37" s="76" t="n"/>
      <c r="I37" s="76" t="n"/>
      <c r="J37" s="76" t="n"/>
      <c r="K37" s="76" t="n"/>
      <c r="L37" s="76" t="n"/>
      <c r="M37" s="57">
        <f>SUM(C37:L37)</f>
        <v/>
      </c>
      <c r="N37" s="77">
        <f>IFERROR(N36-M37/Q$50, 0)</f>
        <v/>
      </c>
      <c r="O37" s="77">
        <f>IFERROR(O36-M37/Q$50, 0)</f>
        <v/>
      </c>
      <c r="P37" s="77">
        <f>IFERROR(P36-M37/Q$50, 0)</f>
        <v/>
      </c>
      <c r="Q37" s="77">
        <f>IFERROR(Q36-M37/Q$50, 0)</f>
        <v/>
      </c>
    </row>
    <row r="38">
      <c r="A38" s="71" t="inlineStr">
        <is>
          <t>Thursday</t>
        </is>
      </c>
      <c r="B38" s="75">
        <f>IFERROR(C$2+4, "")</f>
        <v/>
      </c>
      <c r="C38" s="76" t="n"/>
      <c r="D38" s="76" t="n"/>
      <c r="E38" s="76" t="n"/>
      <c r="F38" s="76" t="n"/>
      <c r="G38" s="76" t="n"/>
      <c r="H38" s="76" t="n"/>
      <c r="I38" s="76" t="n"/>
      <c r="J38" s="76" t="n"/>
      <c r="K38" s="76" t="n"/>
      <c r="L38" s="76" t="n"/>
      <c r="M38" s="57">
        <f>SUM(C38:L38)</f>
        <v/>
      </c>
      <c r="N38" s="77">
        <f>IFERROR(N37-M38/Q$50, 0)</f>
        <v/>
      </c>
      <c r="O38" s="77">
        <f>IFERROR(O37-M38/Q$50, 0)</f>
        <v/>
      </c>
      <c r="P38" s="77">
        <f>IFERROR(P37-M38/Q$50, 0)</f>
        <v/>
      </c>
      <c r="Q38" s="77">
        <f>IFERROR(Q37-M38/Q$50, 0)</f>
        <v/>
      </c>
    </row>
    <row r="39">
      <c r="A39" s="71" t="inlineStr">
        <is>
          <t>Friday</t>
        </is>
      </c>
      <c r="B39" s="75">
        <f>IFERROR(C$2+5, "")</f>
        <v/>
      </c>
      <c r="C39" s="76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57">
        <f>SUM(C39:L39)</f>
        <v/>
      </c>
      <c r="N39" s="77">
        <f>IFERROR(N38-M39/Q$50, 0)</f>
        <v/>
      </c>
      <c r="O39" s="77">
        <f>IFERROR(O38-M39/Q$50, 0)</f>
        <v/>
      </c>
      <c r="P39" s="77">
        <f>IFERROR(P38-M39/Q$50, 0)</f>
        <v/>
      </c>
      <c r="Q39" s="77">
        <f>IFERROR(Q38-M39/Q$50, 0)</f>
        <v/>
      </c>
    </row>
    <row r="40" ht="15.5" customHeight="1">
      <c r="A40" s="71" t="inlineStr">
        <is>
          <t>Saturday</t>
        </is>
      </c>
      <c r="B40" s="75">
        <f>IFERROR(C$2+6, "")</f>
        <v/>
      </c>
      <c r="C40" s="76" t="n"/>
      <c r="D40" s="76" t="n"/>
      <c r="E40" s="76" t="n"/>
      <c r="F40" s="76" t="n"/>
      <c r="G40" s="76" t="n"/>
      <c r="H40" s="76" t="n"/>
      <c r="I40" s="76" t="n"/>
      <c r="J40" s="76" t="n"/>
      <c r="K40" s="76" t="n"/>
      <c r="L40" s="76" t="n"/>
      <c r="M40" s="57">
        <f>SUM(C40:L40)</f>
        <v/>
      </c>
      <c r="N40" s="77">
        <f>IFERROR(N39-M40/Q$50, 0)</f>
        <v/>
      </c>
      <c r="O40" s="77">
        <f>IFERROR(O39-M40/Q$50, 0)</f>
        <v/>
      </c>
      <c r="P40" s="77">
        <f>IFERROR(P39-M40/Q$50, 0)</f>
        <v/>
      </c>
      <c r="Q40" s="77">
        <f>IFERROR(Q39-M40/Q$50, 0)</f>
        <v/>
      </c>
    </row>
    <row r="41" ht="12" customHeight="1">
      <c r="A41" s="71" t="inlineStr">
        <is>
          <t>Sunday</t>
        </is>
      </c>
      <c r="B41" s="75">
        <f>IFERROR(C$2+7, "")</f>
        <v/>
      </c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57">
        <f>SUM(C41:L41)</f>
        <v/>
      </c>
      <c r="N41" s="77">
        <f>IFERROR(N40-M41/Q$50, 0)</f>
        <v/>
      </c>
      <c r="O41" s="77">
        <f>IFERROR(O40-M41/Q$50, 0)</f>
        <v/>
      </c>
      <c r="P41" s="77">
        <f>IFERROR(P40-M41/Q$50, 0)</f>
        <v/>
      </c>
      <c r="Q41" s="77">
        <f>IFERROR(Q40-M41/Q$50, 0)</f>
        <v/>
      </c>
    </row>
    <row r="42">
      <c r="A42" s="71" t="inlineStr">
        <is>
          <t>Monday</t>
        </is>
      </c>
      <c r="B42" s="75">
        <f>IFERROR(C$2+8, "")</f>
        <v/>
      </c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57">
        <f>SUM(C42:L42)</f>
        <v/>
      </c>
      <c r="N42" s="77">
        <f>IFERROR(N41-M42/Q$50, 0)</f>
        <v/>
      </c>
      <c r="O42" s="77">
        <f>IFERROR(O41-M42/Q$50, 0)</f>
        <v/>
      </c>
      <c r="P42" s="77">
        <f>IFERROR(P41-M42/Q$50, 0)</f>
        <v/>
      </c>
      <c r="Q42" s="77">
        <f>IFERROR(Q41-M42/Q$50, 0)</f>
        <v/>
      </c>
    </row>
    <row r="43">
      <c r="A43" s="71" t="inlineStr">
        <is>
          <t>Tuesday</t>
        </is>
      </c>
      <c r="B43" s="75">
        <f>IFERROR(C$2+9, "")</f>
        <v/>
      </c>
      <c r="C43" s="76" t="n"/>
      <c r="D43" s="76" t="n"/>
      <c r="E43" s="76" t="n"/>
      <c r="F43" s="76" t="n"/>
      <c r="G43" s="76" t="n"/>
      <c r="H43" s="76" t="n"/>
      <c r="I43" s="76" t="n"/>
      <c r="J43" s="76" t="n"/>
      <c r="K43" s="76" t="n"/>
      <c r="L43" s="76" t="n"/>
      <c r="M43" s="57">
        <f>SUM(C43:L43)</f>
        <v/>
      </c>
      <c r="N43" s="77">
        <f>IFERROR(N42-M43/Q$50, 0)</f>
        <v/>
      </c>
      <c r="O43" s="77">
        <f>IFERROR(O42-M43/Q$50, 0)</f>
        <v/>
      </c>
      <c r="P43" s="77">
        <f>IFERROR(P42-M43/Q$50, 0)</f>
        <v/>
      </c>
      <c r="Q43" s="77">
        <f>IFERROR(Q42-M43/Q$50, 0)</f>
        <v/>
      </c>
    </row>
    <row r="44">
      <c r="A44" s="71" t="inlineStr">
        <is>
          <t>Wednesday</t>
        </is>
      </c>
      <c r="B44" s="75">
        <f>IFERROR(C$2+10, "")</f>
        <v/>
      </c>
      <c r="C44" s="76" t="n"/>
      <c r="D44" s="76" t="n"/>
      <c r="E44" s="76" t="n"/>
      <c r="F44" s="76" t="n"/>
      <c r="G44" s="76" t="n"/>
      <c r="H44" s="76" t="n"/>
      <c r="I44" s="76" t="n"/>
      <c r="J44" s="76" t="n"/>
      <c r="K44" s="76" t="n"/>
      <c r="L44" s="76" t="n"/>
      <c r="M44" s="57">
        <f>SUM(C44:L44)</f>
        <v/>
      </c>
      <c r="N44" s="77">
        <f>IFERROR(N43-M44/Q$50, 0)</f>
        <v/>
      </c>
      <c r="O44" s="77">
        <f>IFERROR(O43-M44/Q$50, 0)</f>
        <v/>
      </c>
      <c r="P44" s="77">
        <f>IFERROR(P43-M44/Q$50, 0)</f>
        <v/>
      </c>
      <c r="Q44" s="77">
        <f>IFERROR(Q43-M44/Q$50, 0)</f>
        <v/>
      </c>
    </row>
    <row r="45">
      <c r="A45" s="71" t="inlineStr">
        <is>
          <t>Thursday</t>
        </is>
      </c>
      <c r="B45" s="75">
        <f>IFERROR(C$2+11, "")</f>
        <v/>
      </c>
      <c r="C45" s="76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76" t="n"/>
      <c r="M45" s="57">
        <f>SUM(C45:L45)</f>
        <v/>
      </c>
      <c r="N45" s="77">
        <f>IFERROR(N44-M45/Q$50, 0)</f>
        <v/>
      </c>
      <c r="O45" s="77">
        <f>IFERROR(O44-M45/Q$50, 0)</f>
        <v/>
      </c>
      <c r="P45" s="77">
        <f>IFERROR(P44-M45/Q$50, 0)</f>
        <v/>
      </c>
      <c r="Q45" s="77">
        <f>IFERROR(Q44-M45/Q$50, 0)</f>
        <v/>
      </c>
    </row>
    <row r="46">
      <c r="A46" s="71" t="inlineStr">
        <is>
          <t>Friday</t>
        </is>
      </c>
      <c r="B46" s="75">
        <f>IFERROR(C$2+12, "")</f>
        <v/>
      </c>
      <c r="C46" s="76" t="n"/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57">
        <f>SUM(C46:L46)</f>
        <v/>
      </c>
      <c r="N46" s="77">
        <f>IFERROR(N45-M46/Q$50, 0)</f>
        <v/>
      </c>
      <c r="O46" s="77">
        <f>IFERROR(O45-M46/Q$50, 0)</f>
        <v/>
      </c>
      <c r="P46" s="77">
        <f>IFERROR(P45-M46/Q$50, 0)</f>
        <v/>
      </c>
      <c r="Q46" s="77">
        <f>IFERROR(Q45-M46/Q$50, 0)</f>
        <v/>
      </c>
    </row>
    <row r="47">
      <c r="A47" s="71" t="inlineStr">
        <is>
          <t>Saturday</t>
        </is>
      </c>
      <c r="B47" s="75">
        <f>IFERROR(C$2+13, "")</f>
        <v/>
      </c>
      <c r="C47" s="76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76" t="n"/>
      <c r="M47" s="57">
        <f>SUM(C47:L47)</f>
        <v/>
      </c>
      <c r="N47" s="77">
        <f>IFERROR(N46-M47/Q$50, 0)</f>
        <v/>
      </c>
      <c r="O47" s="77">
        <f>IFERROR(O46-M47/Q$50, 0)</f>
        <v/>
      </c>
      <c r="P47" s="77">
        <f>IFERROR(P46-M47/Q$50, 0)</f>
        <v/>
      </c>
      <c r="Q47" s="77">
        <f>IFERROR(Q46-M47/Q$50, 0)</f>
        <v/>
      </c>
    </row>
    <row r="48">
      <c r="A48" s="71" t="inlineStr">
        <is>
          <t>Sunday</t>
        </is>
      </c>
      <c r="B48" s="75">
        <f>IFERROR(C$2+14, "")</f>
        <v/>
      </c>
      <c r="C48" s="78" t="n"/>
      <c r="D48" s="78" t="n"/>
      <c r="E48" s="78" t="n"/>
      <c r="F48" s="78" t="n"/>
      <c r="G48" s="78" t="n"/>
      <c r="H48" s="78" t="n"/>
      <c r="I48" s="78" t="n"/>
      <c r="J48" s="78" t="n"/>
      <c r="K48" s="78" t="n"/>
      <c r="L48" s="78" t="n"/>
      <c r="M48" s="57">
        <f>SUM(C48:L48)</f>
        <v/>
      </c>
      <c r="N48" s="77">
        <f>IFERROR(N47-M48/Q$50, 0)</f>
        <v/>
      </c>
      <c r="O48" s="77">
        <f>IFERROR(O47-M48/Q$50, 0)</f>
        <v/>
      </c>
      <c r="P48" s="77">
        <f>IFERROR(P47-M48/Q$50, 0)</f>
        <v/>
      </c>
      <c r="Q48" s="77">
        <f>IFERROR(Q47-M48/Q$50, 0)</f>
        <v/>
      </c>
    </row>
    <row r="49">
      <c r="B49" s="14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0" t="inlineStr">
        <is>
          <t>% Left of POR (ROI)</t>
        </is>
      </c>
      <c r="O49" s="79" t="inlineStr">
        <is>
          <t>+Available/-Over Budget</t>
        </is>
      </c>
      <c r="P49" s="15" t="inlineStr">
        <is>
          <t>% Total POR Used</t>
        </is>
      </c>
      <c r="Q49" s="10" t="inlineStr">
        <is>
          <t>Days Left</t>
        </is>
      </c>
    </row>
    <row r="50">
      <c r="B50" s="2" t="inlineStr">
        <is>
          <t>Totals</t>
        </is>
      </c>
      <c r="C50" s="62">
        <f>SUM(C35:C48)</f>
        <v/>
      </c>
      <c r="D50" s="62">
        <f>SUM(D35:D48)</f>
        <v/>
      </c>
      <c r="E50" s="62">
        <f>SUM(E36:E48)</f>
        <v/>
      </c>
      <c r="F50" s="62">
        <f>SUM(F36:F48)</f>
        <v/>
      </c>
      <c r="G50" s="62">
        <f>SUM(G36:G48)</f>
        <v/>
      </c>
      <c r="H50" s="62">
        <f>SUM(H36:H48)</f>
        <v/>
      </c>
      <c r="I50" s="62">
        <f>SUM(I36:I48)</f>
        <v/>
      </c>
      <c r="J50" s="62">
        <f>SUM(J36:J48)</f>
        <v/>
      </c>
      <c r="K50" s="62">
        <f>SUM(K36:K48)</f>
        <v/>
      </c>
      <c r="L50" s="62">
        <f>SUM(L36:L48)</f>
        <v/>
      </c>
      <c r="M50" s="62">
        <f>SUM(M35:M48)</f>
        <v/>
      </c>
      <c r="N50" s="80">
        <f>IFERROR(I26/H27, 0)</f>
        <v/>
      </c>
      <c r="O50" s="37">
        <f>IFERROR((N34-M50)/Q50, 0)</f>
        <v/>
      </c>
      <c r="P50" s="80">
        <f>IFERROR(100% -N50, 0)</f>
        <v/>
      </c>
      <c r="Q50" s="15">
        <f>IFERROR(G19, 0)</f>
        <v/>
      </c>
    </row>
    <row r="51">
      <c r="O51" s="15" t="n"/>
    </row>
  </sheetData>
  <mergeCells count="1">
    <mergeCell ref="A1:A9"/>
  </mergeCells>
  <hyperlinks>
    <hyperlink xmlns:r="http://schemas.openxmlformats.org/officeDocument/2006/relationships" ref="A1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 Ultimate Journey Dashboard — Template Version 5</t>
        </is>
      </c>
    </row>
    <row r="2">
      <c r="A2" t="inlineStr">
        <is>
          <t>Change Log</t>
        </is>
      </c>
    </row>
    <row r="4">
      <c r="A4" t="inlineStr">
        <is>
          <t>V5 Changes from V4:</t>
        </is>
      </c>
    </row>
    <row r="5">
      <c r="A5" t="inlineStr">
        <is>
          <t>1. IFERROR wrappers added to all budget/POR cascade cells (N34:Q50) — eliminates #DIV/0! errors on fresh open</t>
        </is>
      </c>
    </row>
    <row r="6">
      <c r="A6" t="inlineStr">
        <is>
          <t>2. IFERROR wrappers added to date-arithmetic cells (G13, G14, G21, G23, B36:B48) — eliminates #VALUE! errors when C2 is blank</t>
        </is>
      </c>
    </row>
    <row r="7">
      <c r="A7" t="inlineStr">
        <is>
          <t>3. Input cells D3, H11, H13, H14, I13, I14 blanked for clean template open</t>
        </is>
      </c>
    </row>
    <row r="8">
      <c r="A8" t="inlineStr">
        <is>
          <t>4. BMC link preserved: https://buymeacoffee.com/theultimatejourney</t>
        </is>
      </c>
    </row>
    <row r="9">
      <c r="A9" t="inlineStr">
        <is>
          <t>5. Template Version 1 reference sheet removed</t>
        </is>
      </c>
    </row>
    <row r="11">
      <c r="A11" t="inlineStr">
        <is>
          <t>How to use:</t>
        </is>
      </c>
    </row>
    <row r="12">
      <c r="A12" t="inlineStr">
        <is>
          <t>1. Enter your start date in C2</t>
        </is>
      </c>
    </row>
    <row r="13">
      <c r="A13" t="inlineStr">
        <is>
          <t>2. Fill in your Bank balance (D3), Fuel (F3), and savings amounts</t>
        </is>
      </c>
    </row>
    <row r="14">
      <c r="A14" t="inlineStr">
        <is>
          <t>3. Enter your 2-week budget limit in N34 (overrides the formula if needed)</t>
        </is>
      </c>
    </row>
    <row r="15">
      <c r="A15" t="inlineStr">
        <is>
          <t>4. Log daily spending in the vendor columns (C35:L48)</t>
        </is>
      </c>
    </row>
    <row r="16">
      <c r="A16" t="inlineStr">
        <is>
          <t>5. The budget tracker and POR gauge update automatically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CLARK, KEVIN</dc:creator>
  <dcterms:created xmlns:dcterms="http://purl.org/dc/terms/" xmlns:xsi="http://www.w3.org/2001/XMLSchema-instance" xsi:type="dcterms:W3CDTF">2024-07-22T20:47:41Z</dcterms:created>
  <dcterms:modified xmlns:dcterms="http://purl.org/dc/terms/" xmlns:xsi="http://www.w3.org/2001/XMLSchema-instance" xsi:type="dcterms:W3CDTF">2026-04-29T19:15:12Z</dcterms:modified>
  <cp:lastModifiedBy>Kevin Clark</cp:lastModifiedBy>
</cp:coreProperties>
</file>