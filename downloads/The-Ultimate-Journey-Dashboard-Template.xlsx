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mplate Version 4" sheetId="1" state="visible" r:id="rId2"/>
    <sheet name="Template Version 1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<sst xmlns="http://schemas.openxmlformats.org/spreadsheetml/2006/main" count="222" uniqueCount="109">
  <si>
    <t xml:space="preserve">Day</t>
  </si>
  <si>
    <t xml:space="preserve">Date</t>
  </si>
  <si>
    <t xml:space="preserve">Time</t>
  </si>
  <si>
    <t xml:space="preserve">Saved</t>
  </si>
  <si>
    <t xml:space="preserve">Fuel</t>
  </si>
  <si>
    <t xml:space="preserve">Bank</t>
  </si>
  <si>
    <t xml:space="preserve">Rewards</t>
  </si>
  <si>
    <t xml:space="preserve">Total CC</t>
  </si>
  <si>
    <t xml:space="preserve">BANK</t>
  </si>
  <si>
    <t xml:space="preserve">CM Total 
After Full Attack</t>
  </si>
  <si>
    <t xml:space="preserve">Latest Due By Date</t>
  </si>
  <si>
    <t xml:space="preserve">MHOA Savings</t>
  </si>
  <si>
    <t xml:space="preserve">Power</t>
  </si>
  <si>
    <t xml:space="preserve">Water</t>
  </si>
  <si>
    <t xml:space="preserve">CM Guage</t>
  </si>
  <si>
    <t xml:space="preserve">Next Goal</t>
  </si>
  <si>
    <t xml:space="preserve">00/00/0000</t>
  </si>
  <si>
    <t xml:space="preserve">Utilities (Power and Water)</t>
  </si>
  <si>
    <t xml:space="preserve">USE</t>
  </si>
  <si>
    <t xml:space="preserve">Days Left:</t>
  </si>
  <si>
    <t xml:space="preserve">Vacation Savings</t>
  </si>
  <si>
    <t xml:space="preserve">Emergency Savings</t>
  </si>
  <si>
    <t xml:space="preserve">Boost Savings</t>
  </si>
  <si>
    <t xml:space="preserve">Pay Yourself Savings</t>
  </si>
  <si>
    <t xml:space="preserve">Unorganized Savings</t>
  </si>
  <si>
    <t xml:space="preserve">Estimated Pay Drop Date</t>
  </si>
  <si>
    <t xml:space="preserve">Quick Note: https://buymeacoffee.com/theultimatejourney</t>
  </si>
  <si>
    <t xml:space="preserve">Battle Notification:</t>
  </si>
  <si>
    <t xml:space="preserve">Holding Tank</t>
  </si>
  <si>
    <t xml:space="preserve">CURRENT DEBT</t>
  </si>
  <si>
    <t xml:space="preserve">Minimum</t>
  </si>
  <si>
    <t xml:space="preserve">Left 2 Go</t>
  </si>
  <si>
    <t xml:space="preserve">Next Attack</t>
  </si>
  <si>
    <t xml:space="preserve">Remaining AFTER Attack</t>
  </si>
  <si>
    <t xml:space="preserve">Countdown</t>
  </si>
  <si>
    <t xml:space="preserve">Final Due Date</t>
  </si>
  <si>
    <t xml:space="preserve">Payment</t>
  </si>
  <si>
    <t xml:space="preserve">Last Statement Balance</t>
  </si>
  <si>
    <t xml:space="preserve">Damage +/-</t>
  </si>
  <si>
    <t xml:space="preserve">Next Minimum</t>
  </si>
  <si>
    <t xml:space="preserve">CM1</t>
  </si>
  <si>
    <t xml:space="preserve">+</t>
  </si>
  <si>
    <t xml:space="preserve">CM2</t>
  </si>
  <si>
    <t xml:space="preserve">CM Total</t>
  </si>
  <si>
    <t xml:space="preserve">Total Damage</t>
  </si>
  <si>
    <t xml:space="preserve">.</t>
  </si>
  <si>
    <t xml:space="preserve">Beginning Stock</t>
  </si>
  <si>
    <t xml:space="preserve">Increase or Decrease</t>
  </si>
  <si>
    <t xml:space="preserve">Replenishment</t>
  </si>
  <si>
    <t xml:space="preserve">Predicted Pay Drop </t>
  </si>
  <si>
    <t xml:space="preserve">Days</t>
  </si>
  <si>
    <t xml:space="preserve">Monthly Minimum</t>
  </si>
  <si>
    <t xml:space="preserve">Status</t>
  </si>
  <si>
    <t xml:space="preserve">CM 1 Due On</t>
  </si>
  <si>
    <t xml:space="preserve">Days Left</t>
  </si>
  <si>
    <t xml:space="preserve">Until</t>
  </si>
  <si>
    <t xml:space="preserve">CM Minimum</t>
  </si>
  <si>
    <t xml:space="preserve">Next CM1 Statement 
Due Date</t>
  </si>
  <si>
    <t xml:space="preserve">Mortgage</t>
  </si>
  <si>
    <t xml:space="preserve">CM 2 Due On</t>
  </si>
  <si>
    <t xml:space="preserve">HOA</t>
  </si>
  <si>
    <t xml:space="preserve">Next CM2 Statement 
Due Date</t>
  </si>
  <si>
    <t xml:space="preserve">Available</t>
  </si>
  <si>
    <t xml:space="preserve">TANK</t>
  </si>
  <si>
    <t xml:space="preserve">As-Of</t>
  </si>
  <si>
    <t xml:space="preserve">Remaining Fuel</t>
  </si>
  <si>
    <t xml:space="preserve">Current POR</t>
  </si>
  <si>
    <t xml:space="preserve">All In POR</t>
  </si>
  <si>
    <t xml:space="preserve">Target All-In POR (ROI)</t>
  </si>
  <si>
    <t xml:space="preserve">Spending Advice</t>
  </si>
  <si>
    <t xml:space="preserve">Total</t>
  </si>
  <si>
    <t xml:space="preserve">Ending Stock</t>
  </si>
  <si>
    <t xml:space="preserve">Minus Tank</t>
  </si>
  <si>
    <t xml:space="preserve">With Replenishment</t>
  </si>
  <si>
    <t xml:space="preserve">From and Forward</t>
  </si>
  <si>
    <t xml:space="preserve">Payment (+)</t>
  </si>
  <si>
    <t xml:space="preserve">Payment Reversal (-)</t>
  </si>
  <si>
    <t xml:space="preserve">2 Week Spending</t>
  </si>
  <si>
    <t xml:space="preserve">2 Week Budget Limit </t>
  </si>
  <si>
    <t xml:space="preserve">Maximum Budget Allowance Per Day</t>
  </si>
  <si>
    <t xml:space="preserve">Suggested MEAN Budget Allowance Per Day</t>
  </si>
  <si>
    <t xml:space="preserve">NEW Preferred Budget Allowance Per 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</si>
  <si>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</si>
  <si>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</si>
  <si>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</si>
  <si>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</si>
  <si>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</si>
  <si>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</si>
  <si>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</si>
  <si>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% Left of POR (ROI)</t>
  </si>
  <si>
    <t xml:space="preserve">+Available/-Over Budget</t>
  </si>
  <si>
    <t xml:space="preserve">% Total POR Used</t>
  </si>
  <si>
    <t xml:space="preserve">Totals</t>
  </si>
  <si>
    <t xml:space="preserve">Due By Date</t>
  </si>
  <si>
    <t xml:space="preserve">Next Statement Due Date</t>
  </si>
  <si>
    <t xml:space="preserve">Quick Note:</t>
  </si>
  <si>
    <t xml:space="preserve">There is a CM Approaching.</t>
  </si>
  <si>
    <t xml:space="preserve">Remaining BEFORE Attack</t>
  </si>
  <si>
    <t xml:space="preserve">IN</t>
  </si>
  <si>
    <t xml:space="preserve">July</t>
  </si>
  <si>
    <t xml:space="preserve">Refuel</t>
  </si>
  <si>
    <t xml:space="preserve">Total Monthly Minimum </t>
  </si>
  <si>
    <t xml:space="preserve">Uber Food</t>
  </si>
  <si>
    <t xml:space="preserve">Uber Trip</t>
  </si>
  <si>
    <t xml:space="preserve">Roku Sub</t>
  </si>
  <si>
    <t xml:space="preserve">ATT</t>
  </si>
  <si>
    <t xml:space="preserve">Amazon</t>
  </si>
  <si>
    <t xml:space="preserve">State Farm</t>
  </si>
  <si>
    <t xml:space="preserve">Disney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</si>
</sst>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[$-F400]h:mm:ss\ AM/PM"/>
    <numFmt numFmtId="167" formatCode="\$#,##0.00"/>
    <numFmt numFmtId="168" formatCode="0.00"/>
    <numFmt numFmtId="169" formatCode="d\-mmm"/>
    <numFmt numFmtId="170" formatCode="General"/>
    <numFmt numFmtId="171" formatCode="0"/>
    <numFmt numFmtId="172" formatCode="mmm\-yyyy"/>
    <numFmt numFmtId="173" formatCode="0%"/>
    <numFmt numFmtId="174" formatCode="#,##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C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92D05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AFABAB"/>
      </patternFill>
    </fill>
    <fill>
      <patternFill patternType="solid">
        <fgColor rgb="FFFF0000"/>
        <bgColor rgb="FFC00000"/>
      </patternFill>
    </fill>
    <fill>
      <patternFill patternType="solid">
        <fgColor rgb="FF000000"/>
        <bgColor rgb="FF003300"/>
      </patternFill>
    </fill>
    <fill>
      <patternFill patternType="solid">
        <fgColor rgb="FFA5A5A5"/>
        <bgColor rgb="FFAFABAB"/>
      </patternFill>
    </fill>
    <fill>
      <patternFill patternType="solid">
        <fgColor rgb="FFEDEDED"/>
        <bgColor rgb="FFFFF2CC"/>
      </patternFill>
    </fill>
    <fill>
      <patternFill patternType="solid">
        <fgColor rgb="FFAFABAB"/>
        <bgColor rgb="FFA5A5A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28125" defaultRowHeight="15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29.17"/>
    <col collapsed="false" customWidth="true" hidden="false" outlineLevel="0" max="3" min="3" style="0" width="26.5"/>
    <col collapsed="false" customWidth="true" hidden="false" outlineLevel="0" max="4" min="4" style="0" width="13.83"/>
    <col collapsed="false" customWidth="true" hidden="false" outlineLevel="0" max="5" min="5" style="0" width="20.5"/>
    <col collapsed="false" customWidth="true" hidden="false" outlineLevel="0" max="6" min="6" style="0" width="27.5"/>
    <col collapsed="false" customWidth="true" hidden="false" outlineLevel="0" max="7" min="7" style="0" width="20.5"/>
    <col collapsed="false" customWidth="true" hidden="false" outlineLevel="0" max="8" min="8" style="0" width="15.51"/>
    <col collapsed="false" customWidth="true" hidden="false" outlineLevel="0" max="9" min="9" style="0" width="23.51"/>
    <col collapsed="false" customWidth="true" hidden="false" outlineLevel="0" max="10" min="10" style="1" width="24.51"/>
    <col collapsed="false" customWidth="true" hidden="false" outlineLevel="0" max="11" min="11" style="0" width="20.17"/>
    <col collapsed="false" customWidth="true" hidden="false" outlineLevel="0" max="12" min="12" style="0" width="24.51"/>
    <col collapsed="false" customWidth="true" hidden="false" outlineLevel="0" max="13" min="13" style="0" width="35.84"/>
    <col collapsed="false" customWidth="true" hidden="false" outlineLevel="0" max="14" min="14" style="0" width="21"/>
    <col collapsed="false" customWidth="true" hidden="false" outlineLevel="0" max="15" min="15" style="0" width="25.5"/>
    <col collapsed="false" customWidth="true" hidden="false" outlineLevel="0" max="16" min="16" style="0" width="26.16"/>
    <col collapsed="false" customWidth="true" hidden="false" outlineLevel="0" max="17" min="17" style="0" width="23.51"/>
    <col collapsed="false" customWidth="true" hidden="false" outlineLevel="0" max="18" min="18" style="0" width="15.51"/>
    <col collapsed="false" customWidth="true" hidden="false" outlineLevel="0" max="20" min="19" style="0" width="11.5"/>
    <col collapsed="false" customWidth="true" hidden="false" outlineLevel="0" max="21" min="21" style="0" width="24.51"/>
    <col collapsed="false" customWidth="true" hidden="false" outlineLevel="0" max="22" min="22" style="0" width="16.16"/>
    <col collapsed="false" customWidth="true" hidden="false" outlineLevel="0" max="23" min="23" style="0" width="14.51"/>
  </cols>
  <sheetData>
    <row r="1" customFormat="false" ht="15.75" hidden="false" customHeight="false" outlineLevel="0" collapsed="false">
      <c r="A1" s="2"/>
      <c r="B1" s="0" t="s">
        <v>0</v>
      </c>
      <c r="C1" s="0" t="s">
        <v>1</v>
      </c>
      <c r="D1" s="0" t="s">
        <v>2</v>
      </c>
      <c r="E1" s="1" t="s">
        <v>3</v>
      </c>
      <c r="F1" s="0" t="s">
        <v>4</v>
      </c>
      <c r="G1" s="0" t="s">
        <v>5</v>
      </c>
      <c r="H1" s="0" t="s">
        <v>6</v>
      </c>
      <c r="I1" s="3" t="s">
        <v>7</v>
      </c>
    </row>
    <row r="2" customFormat="false" ht="15.75" hidden="false" customHeight="false" outlineLevel="0" collapsed="false">
      <c r="A2" s="2"/>
      <c r="B2" s="4"/>
      <c r="C2" s="4" t="n">
        <v>0</v>
      </c>
      <c r="D2" s="5" t="n">
        <v>0</v>
      </c>
      <c r="E2" s="6" t="n">
        <v>0</v>
      </c>
      <c r="F2" s="7" t="n">
        <v>0</v>
      </c>
      <c r="G2" s="8" t="n">
        <f aca="false">D3</f>
        <v>0</v>
      </c>
      <c r="H2" s="9" t="n">
        <v>0</v>
      </c>
      <c r="I2" s="9" t="n">
        <f aca="false">B13+B14</f>
        <v>0</v>
      </c>
      <c r="J2" s="10"/>
      <c r="K2" s="11"/>
      <c r="L2" s="11"/>
      <c r="M2" s="11"/>
      <c r="N2" s="11"/>
      <c r="O2" s="11"/>
      <c r="P2" s="11"/>
    </row>
    <row r="3" customFormat="false" ht="33" hidden="false" customHeight="false" outlineLevel="0" collapsed="false">
      <c r="A3" s="2"/>
      <c r="B3" s="12" t="s">
        <v>8</v>
      </c>
      <c r="C3" s="13" t="n">
        <f aca="false">IF(J23&gt;L23,D3,D3-(L23-J23)+G17)</f>
        <v>0</v>
      </c>
      <c r="D3" s="14" t="n">
        <v>0</v>
      </c>
      <c r="E3" s="1"/>
      <c r="F3" s="9" t="n">
        <f aca="false">-F2+500</f>
        <v>500</v>
      </c>
      <c r="G3" s="9" t="n">
        <f aca="false">E2</f>
        <v>0</v>
      </c>
      <c r="I3" s="9" t="n">
        <f aca="false">F2+C9</f>
        <v>0</v>
      </c>
      <c r="J3" s="15" t="s">
        <v>9</v>
      </c>
      <c r="K3" s="16"/>
      <c r="Q3" s="3" t="s">
        <v>10</v>
      </c>
    </row>
    <row r="4" customFormat="false" ht="15.75" hidden="false" customHeight="false" outlineLevel="0" collapsed="false">
      <c r="A4" s="2"/>
      <c r="B4" s="0" t="s">
        <v>11</v>
      </c>
      <c r="C4" s="9" t="n">
        <f aca="false">D25+D26</f>
        <v>0</v>
      </c>
      <c r="D4" s="17" t="s">
        <v>12</v>
      </c>
      <c r="E4" s="18" t="s">
        <v>13</v>
      </c>
      <c r="F4" s="19" t="n">
        <f aca="false">F3+F2</f>
        <v>500</v>
      </c>
      <c r="G4" s="19" t="n">
        <f aca="false">G2+G3</f>
        <v>0</v>
      </c>
      <c r="I4" s="20" t="n">
        <f aca="false">SUM(I2:I3)</f>
        <v>0</v>
      </c>
      <c r="J4" s="21" t="n">
        <f aca="false">B12+I4+G17</f>
        <v>0</v>
      </c>
      <c r="K4" s="12" t="str">
        <f aca="false">IF(J4&gt;=0, "Fuel Up", "Left Over Debt")</f>
        <v>Fuel Up</v>
      </c>
      <c r="M4" s="22" t="str">
        <f aca="false">IF(M5 ="&lt;---------------------&gt;","MAXED OUT","")</f>
        <v/>
      </c>
      <c r="N4" s="23" t="s">
        <v>14</v>
      </c>
      <c r="O4" s="24"/>
      <c r="P4" s="25" t="s">
        <v>15</v>
      </c>
      <c r="Q4" s="26" t="s">
        <v>16</v>
      </c>
    </row>
    <row r="5" customFormat="false" ht="18.75" hidden="false" customHeight="false" outlineLevel="0" collapsed="false">
      <c r="A5" s="2"/>
      <c r="B5" s="0" t="s">
        <v>17</v>
      </c>
      <c r="C5" s="9" t="n">
        <f aca="false">SUM(D5:E5)-E11</f>
        <v>0</v>
      </c>
      <c r="D5" s="17" t="n">
        <v>0</v>
      </c>
      <c r="E5" s="27" t="n">
        <v>0</v>
      </c>
      <c r="F5" s="12" t="s">
        <v>18</v>
      </c>
      <c r="G5" s="11"/>
      <c r="I5" s="28"/>
      <c r="J5" s="29"/>
      <c r="M5" s="22" t="str">
        <f aca="false">IF(B$12&lt;O5, "&lt;---------------------&gt;", "")</f>
        <v/>
      </c>
      <c r="N5" s="30"/>
      <c r="O5" s="12" t="n">
        <v>-7500</v>
      </c>
      <c r="P5" s="31" t="s">
        <v>19</v>
      </c>
      <c r="Q5" s="32" t="e">
        <f aca="true">MAX(0,Q4-TODAY())</f>
        <v>#VALUE!</v>
      </c>
    </row>
    <row r="6" customFormat="false" ht="15" hidden="false" customHeight="false" outlineLevel="0" collapsed="false">
      <c r="A6" s="2"/>
      <c r="B6" s="0" t="s">
        <v>20</v>
      </c>
      <c r="C6" s="9" t="n">
        <f aca="false">D27</f>
        <v>0</v>
      </c>
      <c r="D6" s="33" t="n">
        <f aca="false">0+D27</f>
        <v>0</v>
      </c>
      <c r="E6" s="29" t="n">
        <f aca="false">0-F6</f>
        <v>0</v>
      </c>
      <c r="F6" s="33"/>
      <c r="J6" s="10"/>
      <c r="K6" s="16"/>
      <c r="M6" s="22" t="str">
        <f aca="false">IF(B$12&lt;O6, "&lt;---------------------&gt;", "")</f>
        <v/>
      </c>
      <c r="N6" s="30"/>
      <c r="O6" s="12" t="n">
        <v>-7200</v>
      </c>
      <c r="P6" s="34" t="str">
        <f aca="false">IF(J$4&lt;O6, "&lt;", "")</f>
        <v/>
      </c>
    </row>
    <row r="7" customFormat="false" ht="15" hidden="false" customHeight="false" outlineLevel="0" collapsed="false">
      <c r="A7" s="2"/>
      <c r="B7" s="0" t="s">
        <v>21</v>
      </c>
      <c r="C7" s="9" t="n">
        <f aca="false">D28</f>
        <v>0</v>
      </c>
      <c r="D7" s="33" t="n">
        <f aca="false">0+D28</f>
        <v>0</v>
      </c>
      <c r="E7" s="29" t="n">
        <f aca="false">0-F7</f>
        <v>0</v>
      </c>
      <c r="F7" s="33" t="n">
        <v>0</v>
      </c>
      <c r="J7" s="10"/>
      <c r="M7" s="22" t="str">
        <f aca="false">IF(B$12&lt;O7, "&lt;---------------------&gt;", "")</f>
        <v/>
      </c>
      <c r="N7" s="30"/>
      <c r="O7" s="12" t="n">
        <v>-6900</v>
      </c>
      <c r="P7" s="34" t="str">
        <f aca="false">IF(J$4&lt;O7, "&lt;", "")</f>
        <v/>
      </c>
    </row>
    <row r="8" customFormat="false" ht="15" hidden="false" customHeight="false" outlineLevel="0" collapsed="false">
      <c r="A8" s="2"/>
      <c r="B8" s="0" t="s">
        <v>22</v>
      </c>
      <c r="C8" s="9" t="n">
        <f aca="false">D29</f>
        <v>0</v>
      </c>
      <c r="D8" s="33" t="n">
        <f aca="false">0+D29</f>
        <v>0</v>
      </c>
      <c r="E8" s="29" t="n">
        <f aca="false">0-F8</f>
        <v>0</v>
      </c>
      <c r="F8" s="33" t="n">
        <v>0</v>
      </c>
      <c r="J8" s="10"/>
      <c r="M8" s="22" t="str">
        <f aca="false">IF(B$12&lt;O8, "&lt;---------------------&gt;", "")</f>
        <v/>
      </c>
      <c r="N8" s="30"/>
      <c r="O8" s="12" t="n">
        <v>-6600</v>
      </c>
      <c r="P8" s="34" t="str">
        <f aca="false">IF(J$4&lt;O8, "&lt;", "")</f>
        <v/>
      </c>
    </row>
    <row r="9" customFormat="false" ht="75" hidden="false" customHeight="true" outlineLevel="0" collapsed="false">
      <c r="A9" s="2"/>
      <c r="B9" s="35" t="s">
        <v>23</v>
      </c>
      <c r="C9" s="36" t="n">
        <f aca="false">SUM(D9:E9)</f>
        <v>0</v>
      </c>
      <c r="D9" s="33" t="n">
        <v>0</v>
      </c>
      <c r="E9" s="29" t="n">
        <f aca="false">0-F9</f>
        <v>0</v>
      </c>
      <c r="F9" s="33" t="n">
        <v>0</v>
      </c>
      <c r="G9" s="11"/>
      <c r="J9" s="10"/>
      <c r="M9" s="22" t="str">
        <f aca="false">IF(B$12&lt;O9, "&lt;---------------------&gt;", "")</f>
        <v/>
      </c>
      <c r="N9" s="30"/>
      <c r="O9" s="12" t="n">
        <v>-6300</v>
      </c>
      <c r="P9" s="34" t="str">
        <f aca="false">IF(J$4&lt;O9, "&lt;", "")</f>
        <v/>
      </c>
    </row>
    <row r="10" customFormat="false" ht="31.5" hidden="false" customHeight="false" outlineLevel="0" collapsed="false">
      <c r="B10" s="0" t="s">
        <v>24</v>
      </c>
      <c r="C10" s="9" t="n">
        <f aca="false">C3</f>
        <v>0</v>
      </c>
      <c r="D10" s="33"/>
      <c r="E10" s="29"/>
      <c r="F10" s="11"/>
      <c r="H10" s="37" t="s">
        <v>25</v>
      </c>
      <c r="J10" s="10"/>
      <c r="M10" s="22" t="str">
        <f aca="false">IF(B$12&lt;O10, "&lt;---------------------&gt;", "")</f>
        <v/>
      </c>
      <c r="N10" s="30"/>
      <c r="O10" s="12" t="n">
        <v>-6000</v>
      </c>
      <c r="P10" s="34" t="str">
        <f aca="false">IF(J$4&lt;O10, "&lt;", "")</f>
        <v/>
      </c>
    </row>
    <row r="11" customFormat="false" ht="15.75" hidden="false" customHeight="false" outlineLevel="0" collapsed="false">
      <c r="A11" s="0" t="s">
        <v>26</v>
      </c>
      <c r="B11" s="0" t="s">
        <v>27</v>
      </c>
      <c r="C11" s="38" t="str">
        <f aca="false">IF(B13&gt;0,"There is a CM Approaching","All Clear")</f>
        <v>All Clear</v>
      </c>
      <c r="D11" s="0" t="s">
        <v>28</v>
      </c>
      <c r="E11" s="6" t="n">
        <f aca="false">F6+F7+F8+F9</f>
        <v>0</v>
      </c>
      <c r="H11" s="26" t="s">
        <v>16</v>
      </c>
      <c r="M11" s="22" t="str">
        <f aca="false">IF(B$12&lt;O11, "&lt;---------------------&gt;", "")</f>
        <v/>
      </c>
      <c r="N11" s="30"/>
      <c r="O11" s="12" t="n">
        <v>-5700</v>
      </c>
      <c r="P11" s="34" t="str">
        <f aca="false">IF(J$4&lt;O11, "&lt;", "")</f>
        <v/>
      </c>
      <c r="Q11" s="39"/>
    </row>
    <row r="12" customFormat="false" ht="15.75" hidden="false" customHeight="false" outlineLevel="0" collapsed="false">
      <c r="A12" s="12" t="s">
        <v>29</v>
      </c>
      <c r="B12" s="40" t="n">
        <f aca="false">-B15</f>
        <v>0</v>
      </c>
      <c r="C12" s="12" t="s">
        <v>30</v>
      </c>
      <c r="D12" s="41" t="s">
        <v>31</v>
      </c>
      <c r="E12" s="15" t="s">
        <v>32</v>
      </c>
      <c r="F12" s="15" t="s">
        <v>33</v>
      </c>
      <c r="G12" s="12" t="s">
        <v>34</v>
      </c>
      <c r="H12" s="12" t="s">
        <v>35</v>
      </c>
      <c r="I12" s="12" t="s">
        <v>36</v>
      </c>
      <c r="J12" s="12" t="s">
        <v>37</v>
      </c>
      <c r="K12" s="12" t="s">
        <v>38</v>
      </c>
      <c r="L12" s="12" t="s">
        <v>39</v>
      </c>
      <c r="M12" s="22" t="str">
        <f aca="false">IF(B$12&lt;O12, "&lt;---------------------&gt;", "")</f>
        <v/>
      </c>
      <c r="N12" s="42"/>
      <c r="O12" s="12" t="n">
        <v>-5400</v>
      </c>
      <c r="P12" s="34" t="str">
        <f aca="false">IF(J$4&lt;O12, "&lt;", "")</f>
        <v/>
      </c>
      <c r="Q12" s="39"/>
    </row>
    <row r="13" customFormat="false" ht="15" hidden="false" customHeight="false" outlineLevel="0" collapsed="false">
      <c r="A13" s="35" t="s">
        <v>40</v>
      </c>
      <c r="B13" s="43" t="n">
        <v>0</v>
      </c>
      <c r="C13" s="44" t="n">
        <v>0</v>
      </c>
      <c r="D13" s="43" t="n">
        <f aca="false">B13-C13</f>
        <v>0</v>
      </c>
      <c r="E13" s="45" t="n">
        <f aca="false">I13</f>
        <v>0</v>
      </c>
      <c r="F13" s="43" t="n">
        <f aca="false">B13-E13</f>
        <v>0</v>
      </c>
      <c r="G13" s="46" t="str">
        <f aca="false">IFERROR(IF(OR(H13=0,C2=0),"",H13-C2),"")</f>
        <v/>
      </c>
      <c r="H13" s="26" t="s">
        <v>16</v>
      </c>
      <c r="I13" s="43" t="n">
        <v>0</v>
      </c>
      <c r="J13" s="27" t="n">
        <f aca="false">L13</f>
        <v>0</v>
      </c>
      <c r="K13" s="12" t="s">
        <v>41</v>
      </c>
      <c r="L13" s="43" t="n">
        <f aca="false">C13</f>
        <v>0</v>
      </c>
      <c r="M13" s="22" t="str">
        <f aca="false">IF(B$12&lt;O13, "&lt;---------------------&gt;", "")</f>
        <v/>
      </c>
      <c r="N13" s="42"/>
      <c r="O13" s="12" t="n">
        <v>-5100</v>
      </c>
      <c r="P13" s="34" t="str">
        <f aca="false">IF(J$4&lt;O13, "&lt;", "")</f>
        <v/>
      </c>
      <c r="Q13" s="39"/>
    </row>
    <row r="14" customFormat="false" ht="15" hidden="false" customHeight="false" outlineLevel="0" collapsed="false">
      <c r="A14" s="35" t="s">
        <v>42</v>
      </c>
      <c r="B14" s="43" t="n">
        <v>0</v>
      </c>
      <c r="C14" s="44" t="n">
        <v>0</v>
      </c>
      <c r="D14" s="43" t="n">
        <f aca="false">B14-C14</f>
        <v>0</v>
      </c>
      <c r="E14" s="45" t="n">
        <f aca="false">I14</f>
        <v>0</v>
      </c>
      <c r="F14" s="43" t="n">
        <f aca="false">B14-E14</f>
        <v>0</v>
      </c>
      <c r="G14" s="46" t="str">
        <f aca="false">IFERROR(IF(OR(H14=0,C2=0),"",H14-C2),"")</f>
        <v/>
      </c>
      <c r="H14" s="47" t="s">
        <v>16</v>
      </c>
      <c r="I14" s="43" t="n">
        <v>0</v>
      </c>
      <c r="J14" s="27" t="n">
        <f aca="false">L14</f>
        <v>0</v>
      </c>
      <c r="K14" s="12" t="s">
        <v>41</v>
      </c>
      <c r="L14" s="43" t="n">
        <f aca="false">C14</f>
        <v>0</v>
      </c>
      <c r="M14" s="22" t="str">
        <f aca="false">IF(B$12&lt;O14, "&lt;---------------------&gt;", "")</f>
        <v/>
      </c>
      <c r="N14" s="42"/>
      <c r="O14" s="12" t="n">
        <v>-4800</v>
      </c>
      <c r="P14" s="34" t="str">
        <f aca="false">IF(J$4&lt;O14, "&lt;", "")</f>
        <v/>
      </c>
      <c r="Q14" s="39"/>
    </row>
    <row r="15" customFormat="false" ht="15" hidden="false" customHeight="false" outlineLevel="0" collapsed="false">
      <c r="A15" s="35" t="s">
        <v>43</v>
      </c>
      <c r="B15" s="13" t="n">
        <f aca="false">SUM(B13:B14)</f>
        <v>0</v>
      </c>
      <c r="C15" s="44" t="n">
        <f aca="false">SUM(C13:C14)</f>
        <v>0</v>
      </c>
      <c r="D15" s="43" t="n">
        <f aca="false">SUM(D13:D14)</f>
        <v>0</v>
      </c>
      <c r="E15" s="45" t="n">
        <f aca="false">SUM(E13:E14)</f>
        <v>0</v>
      </c>
      <c r="F15" s="48" t="n">
        <f aca="false">SUM(F13:F14)</f>
        <v>0</v>
      </c>
      <c r="G15" s="46"/>
      <c r="H15" s="12" t="s">
        <v>44</v>
      </c>
      <c r="I15" s="49" t="n">
        <f aca="false">SUM(I13:I14)</f>
        <v>0</v>
      </c>
      <c r="J15" s="27" t="n">
        <f aca="false">SUM(J13:J14)</f>
        <v>0</v>
      </c>
      <c r="K15" s="12" t="s">
        <v>41</v>
      </c>
      <c r="L15" s="43" t="n">
        <f aca="false">SUM(L13:L14)</f>
        <v>0</v>
      </c>
      <c r="M15" s="22" t="str">
        <f aca="false">IF(B$12&lt;O15, "&lt;---------------------&gt;", "")</f>
        <v/>
      </c>
      <c r="N15" s="42"/>
      <c r="O15" s="12" t="n">
        <v>-4500</v>
      </c>
      <c r="P15" s="34" t="str">
        <f aca="false">IF(J$4&lt;O15, "&lt;", "")</f>
        <v/>
      </c>
      <c r="Q15" s="39"/>
    </row>
    <row r="16" customFormat="false" ht="15" hidden="false" customHeight="false" outlineLevel="0" collapsed="false">
      <c r="B16" s="33"/>
      <c r="C16" s="50"/>
      <c r="E16" s="51" t="s">
        <v>45</v>
      </c>
      <c r="J16" s="52"/>
      <c r="K16" s="31"/>
      <c r="M16" s="22" t="str">
        <f aca="false">IF(B$12&lt;O16, "&lt;---------------------&gt;", "")</f>
        <v/>
      </c>
      <c r="N16" s="42"/>
      <c r="O16" s="12" t="n">
        <v>-4200</v>
      </c>
      <c r="P16" s="34" t="str">
        <f aca="false">IF(J$4&lt;O16, "&lt;", "")</f>
        <v/>
      </c>
      <c r="Q16" s="39"/>
    </row>
    <row r="17" customFormat="false" ht="15" hidden="false" customHeight="false" outlineLevel="0" collapsed="false">
      <c r="A17" s="3" t="s">
        <v>46</v>
      </c>
      <c r="B17" s="53"/>
      <c r="C17" s="12" t="s">
        <v>47</v>
      </c>
      <c r="D17" s="54"/>
      <c r="F17" s="55" t="s">
        <v>48</v>
      </c>
      <c r="G17" s="56"/>
      <c r="H17" s="12"/>
      <c r="J17" s="52"/>
      <c r="K17" s="57"/>
      <c r="M17" s="22" t="str">
        <f aca="false">IF(B$12&lt;O17, "&lt;---------------------&gt;", "")</f>
        <v/>
      </c>
      <c r="N17" s="42"/>
      <c r="O17" s="12" t="n">
        <v>-3900</v>
      </c>
      <c r="P17" s="34" t="str">
        <f aca="false">IF(J$4&lt;O17, "&lt;", "")</f>
        <v/>
      </c>
      <c r="Q17" s="39"/>
    </row>
    <row r="18" customFormat="false" ht="15" hidden="false" customHeight="false" outlineLevel="0" collapsed="false">
      <c r="A18" s="0" t="n">
        <v>1</v>
      </c>
      <c r="B18" s="53"/>
      <c r="C18" s="25" t="str">
        <f aca="false">IF(B28&gt;B17,"Increase","Decrease")</f>
        <v>Decrease</v>
      </c>
      <c r="D18" s="58" t="n">
        <f aca="false">B28-B17</f>
        <v>0</v>
      </c>
      <c r="E18" s="51"/>
      <c r="F18" s="0" t="s">
        <v>25</v>
      </c>
      <c r="G18" s="25"/>
      <c r="H18" s="25"/>
      <c r="M18" s="22" t="str">
        <f aca="false">IF(B$12&lt;O18, "&lt;---------------------&gt;", "")</f>
        <v/>
      </c>
      <c r="N18" s="42"/>
      <c r="O18" s="12" t="n">
        <v>-3600</v>
      </c>
      <c r="P18" s="34" t="str">
        <f aca="false">IF(J$4&lt;O18, "&lt;", "")</f>
        <v/>
      </c>
      <c r="Q18" s="39"/>
    </row>
    <row r="19" customFormat="false" ht="15" hidden="false" customHeight="false" outlineLevel="0" collapsed="false">
      <c r="A19" s="0" t="n">
        <v>2</v>
      </c>
      <c r="B19" s="53"/>
      <c r="D19" s="12"/>
      <c r="E19" s="0" t="s">
        <v>49</v>
      </c>
      <c r="F19" s="59" t="str">
        <f aca="false">H11</f>
        <v>00/00/0000</v>
      </c>
      <c r="G19" s="12"/>
      <c r="H19" s="25" t="s">
        <v>50</v>
      </c>
      <c r="J19" s="25" t="s">
        <v>51</v>
      </c>
      <c r="K19" s="25" t="s">
        <v>52</v>
      </c>
      <c r="L19" s="60" t="str">
        <f aca="false">H13</f>
        <v>00/00/0000</v>
      </c>
      <c r="M19" s="22" t="str">
        <f aca="false">IF(B$12&lt;O19, "&lt;---------------------&gt;", "")</f>
        <v/>
      </c>
      <c r="N19" s="42"/>
      <c r="O19" s="12" t="n">
        <v>-3300</v>
      </c>
      <c r="P19" s="34" t="str">
        <f aca="false">IF(J$4&lt;O19, "&lt;", "")</f>
        <v/>
      </c>
      <c r="Q19" s="39"/>
    </row>
    <row r="20" customFormat="false" ht="16.5" hidden="false" customHeight="false" outlineLevel="0" collapsed="false">
      <c r="A20" s="0" t="n">
        <v>3</v>
      </c>
      <c r="B20" s="53"/>
      <c r="D20" s="12"/>
      <c r="E20" s="61"/>
      <c r="F20" s="12" t="s">
        <v>53</v>
      </c>
      <c r="G20" s="62" t="s">
        <v>54</v>
      </c>
      <c r="H20" s="63" t="s">
        <v>55</v>
      </c>
      <c r="I20" s="64" t="s">
        <v>56</v>
      </c>
      <c r="J20" s="65" t="n">
        <f aca="false">J15</f>
        <v>0</v>
      </c>
      <c r="K20" s="62" t="str">
        <f aca="false">IF(J20 &gt;=L20, "Paid", "Due")</f>
        <v>Paid</v>
      </c>
      <c r="L20" s="13" t="n">
        <f aca="false">L15</f>
        <v>0</v>
      </c>
      <c r="M20" s="22" t="str">
        <f aca="false">IF(B$12&lt;O20, "&lt;---------------------&gt;", "")</f>
        <v/>
      </c>
      <c r="N20" s="42"/>
      <c r="O20" s="12" t="n">
        <v>-3000</v>
      </c>
      <c r="P20" s="34" t="str">
        <f aca="false">IF(J$4&lt;O20, "&lt;", "")</f>
        <v/>
      </c>
      <c r="Q20" s="39"/>
    </row>
    <row r="21" customFormat="false" ht="48.75" hidden="false" customHeight="false" outlineLevel="0" collapsed="false">
      <c r="A21" s="0" t="n">
        <v>4</v>
      </c>
      <c r="B21" s="53"/>
      <c r="D21" s="12"/>
      <c r="E21" s="61"/>
      <c r="F21" s="66" t="str">
        <f aca="false">H13</f>
        <v>00/00/0000</v>
      </c>
      <c r="G21" s="67" t="str">
        <f aca="false">IFERROR(IF(OR(F21=0,E23=0),"",F21-E23),"")</f>
        <v/>
      </c>
      <c r="H21" s="68" t="s">
        <v>57</v>
      </c>
      <c r="I21" s="69" t="s">
        <v>58</v>
      </c>
      <c r="J21" s="13" t="n">
        <f aca="false">D25</f>
        <v>0</v>
      </c>
      <c r="K21" s="67" t="str">
        <f aca="false">IF(J21 =L21, "Paid", "Due")</f>
        <v>Paid</v>
      </c>
      <c r="L21" s="13" t="n">
        <f aca="false">D25</f>
        <v>0</v>
      </c>
      <c r="M21" s="22" t="str">
        <f aca="false">IF(B$12&lt;O21, "&lt;---------------------&gt;", "")</f>
        <v/>
      </c>
      <c r="N21" s="42"/>
      <c r="O21" s="12" t="n">
        <v>-2700</v>
      </c>
      <c r="P21" s="34" t="str">
        <f aca="false">IF(J$4&lt;O21, "&lt;", "")</f>
        <v/>
      </c>
      <c r="Q21" s="39"/>
    </row>
    <row r="22" customFormat="false" ht="16.5" hidden="false" customHeight="false" outlineLevel="0" collapsed="false">
      <c r="A22" s="0" t="n">
        <v>5</v>
      </c>
      <c r="B22" s="53"/>
      <c r="D22" s="12"/>
      <c r="E22" s="61"/>
      <c r="F22" s="12" t="s">
        <v>59</v>
      </c>
      <c r="G22" s="62" t="s">
        <v>54</v>
      </c>
      <c r="H22" s="63" t="s">
        <v>55</v>
      </c>
      <c r="I22" s="64" t="s">
        <v>60</v>
      </c>
      <c r="J22" s="65" t="n">
        <f aca="false">D26</f>
        <v>0</v>
      </c>
      <c r="K22" s="62" t="str">
        <f aca="false">IF(J22 =L22, "Paid", "Due")</f>
        <v>Paid</v>
      </c>
      <c r="L22" s="13" t="n">
        <f aca="false">D26</f>
        <v>0</v>
      </c>
      <c r="M22" s="22" t="str">
        <f aca="false">IF(B$12&lt;O22, "&lt;---------------------&gt;", "")</f>
        <v/>
      </c>
      <c r="N22" s="70"/>
      <c r="O22" s="12" t="n">
        <v>-2400</v>
      </c>
      <c r="P22" s="34" t="str">
        <f aca="false">IF(J$4&lt;O22, "&lt;", "")</f>
        <v/>
      </c>
      <c r="Q22" s="39"/>
    </row>
    <row r="23" customFormat="false" ht="48.75" hidden="false" customHeight="false" outlineLevel="0" collapsed="false">
      <c r="A23" s="0" t="n">
        <v>6</v>
      </c>
      <c r="B23" s="53"/>
      <c r="D23" s="12"/>
      <c r="E23" s="71" t="n">
        <f aca="false">C2</f>
        <v>0</v>
      </c>
      <c r="F23" s="72" t="str">
        <f aca="false">H14</f>
        <v>00/00/0000</v>
      </c>
      <c r="G23" s="67" t="str">
        <f aca="false">IFERROR(IF(OR(F23=0,E23=0),"",F23-E23),"")</f>
        <v/>
      </c>
      <c r="H23" s="68" t="s">
        <v>61</v>
      </c>
      <c r="I23" s="73" t="s">
        <v>62</v>
      </c>
      <c r="J23" s="21" t="n">
        <f aca="false">SUM(J20:J22)</f>
        <v>0</v>
      </c>
      <c r="K23" s="67" t="str">
        <f aca="false">IF(J23 =L23, "Paid", "Due")</f>
        <v>Paid</v>
      </c>
      <c r="L23" s="13" t="n">
        <f aca="false">SUM(L20:L22)</f>
        <v>0</v>
      </c>
      <c r="M23" s="22" t="str">
        <f aca="false">IF(B$12&lt;O23, "&lt;---------------------&gt;", "")</f>
        <v/>
      </c>
      <c r="N23" s="70"/>
      <c r="O23" s="12" t="n">
        <v>-2100</v>
      </c>
      <c r="P23" s="34" t="str">
        <f aca="false">IF(J$4&lt;O23, "&lt;", "")</f>
        <v/>
      </c>
      <c r="Q23" s="39"/>
    </row>
    <row r="24" customFormat="false" ht="15.75" hidden="false" customHeight="false" outlineLevel="0" collapsed="false">
      <c r="A24" s="0" t="n">
        <v>7</v>
      </c>
      <c r="B24" s="53"/>
      <c r="C24" s="25" t="s">
        <v>63</v>
      </c>
      <c r="D24" s="12"/>
      <c r="E24" s="74" t="s">
        <v>64</v>
      </c>
      <c r="G24" s="75"/>
      <c r="H24" s="75"/>
      <c r="I24" s="76"/>
      <c r="J24" s="77"/>
      <c r="K24" s="78"/>
      <c r="L24" s="75"/>
      <c r="M24" s="22" t="str">
        <f aca="false">IF(B$12&lt;O24, "&lt;---------------------&gt;", "")</f>
        <v/>
      </c>
      <c r="N24" s="70"/>
      <c r="O24" s="12" t="n">
        <v>-1800</v>
      </c>
      <c r="P24" s="34" t="str">
        <f aca="false">IF(J$4&lt;O24, "&lt;", "")</f>
        <v/>
      </c>
      <c r="Q24" s="39"/>
    </row>
    <row r="25" customFormat="false" ht="36.75" hidden="false" customHeight="true" outlineLevel="0" collapsed="false">
      <c r="A25" s="0" t="n">
        <v>8</v>
      </c>
      <c r="B25" s="53"/>
      <c r="C25" s="3" t="str">
        <f aca="false">I21</f>
        <v>Mortgage</v>
      </c>
      <c r="D25" s="79" t="n">
        <v>0</v>
      </c>
      <c r="E25" s="80" t="n">
        <f aca="false">C$2</f>
        <v>0</v>
      </c>
      <c r="G25" s="15" t="s">
        <v>65</v>
      </c>
      <c r="H25" s="81" t="n">
        <f aca="false">F2</f>
        <v>0</v>
      </c>
      <c r="I25" s="82" t="s">
        <v>66</v>
      </c>
      <c r="J25" s="82" t="s">
        <v>67</v>
      </c>
      <c r="K25" s="83" t="s">
        <v>68</v>
      </c>
      <c r="L25" s="84" t="s">
        <v>69</v>
      </c>
      <c r="M25" s="22" t="str">
        <f aca="false">IF(B$12&lt;O25, "&lt;---------------------&gt;", "")</f>
        <v/>
      </c>
      <c r="N25" s="70"/>
      <c r="O25" s="12" t="n">
        <v>-1500</v>
      </c>
      <c r="P25" s="34" t="str">
        <f aca="false">IF(J$4&lt;O25, "&lt;", "")</f>
        <v/>
      </c>
      <c r="Q25" s="39"/>
    </row>
    <row r="26" customFormat="false" ht="15.75" hidden="false" customHeight="false" outlineLevel="0" collapsed="false">
      <c r="A26" s="0" t="n">
        <v>9</v>
      </c>
      <c r="B26" s="53"/>
      <c r="C26" s="3" t="str">
        <f aca="false">I22</f>
        <v>HOA</v>
      </c>
      <c r="D26" s="79" t="n">
        <v>0</v>
      </c>
      <c r="E26" s="80" t="n">
        <f aca="false">C$2</f>
        <v>0</v>
      </c>
      <c r="H26" s="85" t="n">
        <f aca="false">G2</f>
        <v>0</v>
      </c>
      <c r="I26" s="27" t="n">
        <f aca="false">G17+C3+F2-I15-M50+E11</f>
        <v>0</v>
      </c>
      <c r="J26" s="27" t="n">
        <f aca="false">G17+C3+C8+F2-M50</f>
        <v>0</v>
      </c>
      <c r="K26" s="86" t="n">
        <v>5000</v>
      </c>
      <c r="L26" s="87" t="str">
        <f aca="false">IF(I26 &lt;= 0, "Freeze Credit Spending","Stable Account")</f>
        <v>Freeze Credit Spending</v>
      </c>
      <c r="M26" s="22" t="str">
        <f aca="false">IF(B$12&lt;O26, "&lt;---------------------&gt;", "")</f>
        <v/>
      </c>
      <c r="N26" s="70"/>
      <c r="O26" s="12" t="n">
        <v>-1200</v>
      </c>
      <c r="P26" s="34" t="str">
        <f aca="false">IF(J$4&lt;O26, "&lt;", "")</f>
        <v/>
      </c>
      <c r="Q26" s="39"/>
    </row>
    <row r="27" customFormat="false" ht="15" hidden="false" customHeight="false" outlineLevel="0" collapsed="false">
      <c r="A27" s="0" t="n">
        <v>10</v>
      </c>
      <c r="B27" s="53"/>
      <c r="C27" s="3" t="str">
        <f aca="false">B6</f>
        <v>Vacation Savings</v>
      </c>
      <c r="D27" s="79" t="n">
        <v>0</v>
      </c>
      <c r="E27" s="80" t="n">
        <f aca="false">C$2</f>
        <v>0</v>
      </c>
      <c r="G27" s="25" t="s">
        <v>70</v>
      </c>
      <c r="H27" s="88" t="n">
        <f aca="false">SUM(H25:H26)</f>
        <v>0</v>
      </c>
      <c r="I27" s="46"/>
      <c r="J27" s="89"/>
      <c r="K27" s="12"/>
      <c r="L27" s="12"/>
      <c r="M27" s="22" t="str">
        <f aca="false">IF(B$12&lt;O27, "&lt;---------------------&gt;", "")</f>
        <v/>
      </c>
      <c r="N27" s="70"/>
      <c r="O27" s="12" t="n">
        <v>-900</v>
      </c>
      <c r="P27" s="34" t="str">
        <f aca="false">IF(J$4&lt;O27, "&lt;", "")</f>
        <v/>
      </c>
      <c r="Q27" s="39"/>
    </row>
    <row r="28" customFormat="false" ht="15" hidden="false" customHeight="false" outlineLevel="0" collapsed="false">
      <c r="A28" s="3" t="s">
        <v>71</v>
      </c>
      <c r="B28" s="53"/>
      <c r="C28" s="3" t="str">
        <f aca="false">B7</f>
        <v>Emergency Savings</v>
      </c>
      <c r="D28" s="43" t="n">
        <v>0</v>
      </c>
      <c r="E28" s="80" t="n">
        <f aca="false">C$2</f>
        <v>0</v>
      </c>
      <c r="G28" s="12" t="s">
        <v>72</v>
      </c>
      <c r="H28" s="90" t="n">
        <f aca="false">H27-D30</f>
        <v>0</v>
      </c>
      <c r="I28" s="46"/>
      <c r="J28" s="15"/>
      <c r="K28" s="12"/>
      <c r="L28" s="12"/>
      <c r="M28" s="22" t="str">
        <f aca="false">IF(B$12&lt;O28, "&lt;---------------------&gt;", "")</f>
        <v/>
      </c>
      <c r="N28" s="70"/>
      <c r="O28" s="12" t="n">
        <v>-600</v>
      </c>
      <c r="P28" s="34" t="str">
        <f aca="false">IF(J$4&lt;O28, "&lt;", "")</f>
        <v/>
      </c>
      <c r="Q28" s="39"/>
    </row>
    <row r="29" customFormat="false" ht="15.75" hidden="false" customHeight="false" outlineLevel="0" collapsed="false">
      <c r="A29" s="3"/>
      <c r="B29" s="91"/>
      <c r="C29" s="3" t="str">
        <f aca="false">B8</f>
        <v>Boost Savings</v>
      </c>
      <c r="D29" s="43" t="n">
        <v>0</v>
      </c>
      <c r="E29" s="80" t="n">
        <f aca="false">C$2</f>
        <v>0</v>
      </c>
      <c r="G29" s="0" t="s">
        <v>73</v>
      </c>
      <c r="H29" s="92" t="n">
        <f aca="false">H27+G17</f>
        <v>0</v>
      </c>
      <c r="I29" s="12"/>
      <c r="J29" s="15"/>
      <c r="K29" s="12"/>
      <c r="L29" s="12"/>
      <c r="M29" s="22" t="str">
        <f aca="false">IF(B$12&lt;O29, "&lt;---------------------&gt;", "")</f>
        <v/>
      </c>
      <c r="N29" s="70"/>
      <c r="O29" s="12" t="n">
        <v>-300</v>
      </c>
      <c r="P29" s="34" t="str">
        <f aca="false">IF(J$4&lt;O29, "&lt;", "")</f>
        <v/>
      </c>
      <c r="Q29" s="39"/>
    </row>
    <row r="30" customFormat="false" ht="15.75" hidden="false" customHeight="false" outlineLevel="0" collapsed="false">
      <c r="B30" s="93"/>
      <c r="C30" s="3" t="s">
        <v>70</v>
      </c>
      <c r="D30" s="43" t="n">
        <f aca="false">SUM(D25:D29)</f>
        <v>0</v>
      </c>
      <c r="H30" s="12"/>
      <c r="I30" s="12"/>
      <c r="J30" s="15"/>
      <c r="K30" s="12"/>
      <c r="L30" s="12"/>
      <c r="M30" s="22" t="str">
        <f aca="false">IF(B$12&lt;O30, "&lt;---------------------&gt;", "")</f>
        <v/>
      </c>
      <c r="N30" s="70"/>
      <c r="O30" s="12" t="n">
        <v>0</v>
      </c>
      <c r="P30" s="34" t="str">
        <f aca="false">IF(J$4&lt;O30, "&lt;", "")</f>
        <v/>
      </c>
      <c r="Q30" s="39"/>
    </row>
    <row r="31" customFormat="false" ht="15" hidden="false" customHeight="false" outlineLevel="0" collapsed="false">
      <c r="B31" s="33"/>
      <c r="C31" s="3"/>
      <c r="D31" s="12"/>
      <c r="H31" s="12"/>
      <c r="I31" s="12"/>
      <c r="J31" s="15"/>
      <c r="K31" s="12"/>
      <c r="L31" s="12"/>
      <c r="M31" s="12"/>
      <c r="N31" s="12"/>
      <c r="O31" s="12"/>
      <c r="P31" s="12"/>
      <c r="Q31" s="12"/>
    </row>
    <row r="32" customFormat="false" ht="15" hidden="false" customHeight="false" outlineLevel="0" collapsed="false">
      <c r="B32" s="11"/>
      <c r="H32" s="12"/>
      <c r="I32" s="12"/>
      <c r="J32" s="15"/>
      <c r="K32" s="12"/>
      <c r="L32" s="12"/>
      <c r="M32" s="12"/>
      <c r="N32" s="12"/>
      <c r="O32" s="12"/>
      <c r="P32" s="12"/>
      <c r="Q32" s="12"/>
      <c r="W32" s="12"/>
    </row>
    <row r="33" customFormat="false" ht="31.5" hidden="false" customHeight="false" outlineLevel="0" collapsed="false">
      <c r="B33" s="3" t="s">
        <v>74</v>
      </c>
      <c r="C33" s="25"/>
      <c r="D33" s="25"/>
      <c r="E33" s="25"/>
      <c r="F33" s="25"/>
      <c r="G33" s="37"/>
      <c r="H33" s="37"/>
      <c r="I33" s="37"/>
      <c r="J33" s="25"/>
      <c r="K33" s="25" t="s">
        <v>75</v>
      </c>
      <c r="L33" s="25" t="s">
        <v>76</v>
      </c>
      <c r="M33" s="69" t="s">
        <v>77</v>
      </c>
      <c r="N33" s="69" t="s">
        <v>78</v>
      </c>
      <c r="O33" s="94" t="s">
        <v>79</v>
      </c>
      <c r="P33" s="69" t="s">
        <v>80</v>
      </c>
      <c r="Q33" s="82" t="s">
        <v>81</v>
      </c>
      <c r="T33" s="11"/>
    </row>
    <row r="34" customFormat="false" ht="15" hidden="false" customHeight="false" outlineLevel="0" collapsed="false">
      <c r="A34" s="95"/>
      <c r="B34" s="95"/>
      <c r="C34" s="78"/>
      <c r="D34" s="78"/>
      <c r="E34" s="78"/>
      <c r="F34" s="78"/>
      <c r="G34" s="96"/>
      <c r="H34" s="96"/>
      <c r="I34" s="96"/>
      <c r="J34" s="78"/>
      <c r="K34" s="78"/>
      <c r="L34" s="78"/>
      <c r="M34" s="69"/>
      <c r="N34" s="97" t="n">
        <f aca="false">IFERROR(I26,0)</f>
        <v>0</v>
      </c>
      <c r="O34" s="46" t="n">
        <f aca="false">IFERROR(N34/Q50,0)</f>
        <v>0</v>
      </c>
      <c r="P34" s="46" t="n">
        <f aca="false">IFERROR(O34/Q50,0)</f>
        <v>0</v>
      </c>
      <c r="Q34" s="46" t="n">
        <f aca="false">IFERROR(P34/Q50,0)</f>
        <v>0</v>
      </c>
    </row>
    <row r="35" customFormat="false" ht="15" hidden="false" customHeight="false" outlineLevel="0" collapsed="false">
      <c r="A35" s="95" t="s">
        <v>82</v>
      </c>
      <c r="B35" s="98" t="n">
        <f aca="false">C$2</f>
        <v>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65" t="n">
        <f aca="false">SUM(C35:I35)</f>
        <v>0</v>
      </c>
      <c r="N35" s="100" t="n">
        <f aca="false">IFERROR(N34-M35,0)</f>
        <v>0</v>
      </c>
      <c r="O35" s="100" t="n">
        <f aca="false">IFERROR(O34-M35/Q$50,0)</f>
        <v>0</v>
      </c>
      <c r="P35" s="100" t="n">
        <f aca="false">IFERROR(P34-M35/Q$50,0)</f>
        <v>0</v>
      </c>
      <c r="Q35" s="100" t="n">
        <f aca="false">IFERROR(Q34-M35/Q$50,0)</f>
        <v>0</v>
      </c>
    </row>
    <row r="36" customFormat="false" ht="15" hidden="false" customHeight="false" outlineLevel="0" collapsed="false">
      <c r="A36" s="95" t="s">
        <v>83</v>
      </c>
      <c r="B36" s="98" t="n">
        <f aca="false">C$2+1</f>
        <v>1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65" t="n">
        <f aca="false">SUM(C36:L36)</f>
        <v>0</v>
      </c>
      <c r="N36" s="100" t="n">
        <f aca="false">IFERROR(N35-M36/Q$50,0)</f>
        <v>0</v>
      </c>
      <c r="O36" s="100" t="n">
        <f aca="false">IFERROR(O35-M36/Q$50,0)</f>
        <v>0</v>
      </c>
      <c r="P36" s="100" t="n">
        <f aca="false">IFERROR(P35-M36/Q$50,0)</f>
        <v>0</v>
      </c>
      <c r="Q36" s="100" t="n">
        <f aca="false">IFERROR(Q35-M36/Q$50,0)</f>
        <v>0</v>
      </c>
    </row>
    <row r="37" customFormat="false" ht="15" hidden="false" customHeight="false" outlineLevel="0" collapsed="false">
      <c r="A37" s="95" t="s">
        <v>84</v>
      </c>
      <c r="B37" s="98" t="n">
        <f aca="false">C$2+3</f>
        <v>3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65" t="n">
        <f aca="false">SUM(C37:L37)</f>
        <v>0</v>
      </c>
      <c r="N37" s="100" t="n">
        <f aca="false">IFERROR(N36-M37/Q$50,0)</f>
        <v>0</v>
      </c>
      <c r="O37" s="100" t="n">
        <f aca="false">IFERROR(O36-M37/Q$50,0)</f>
        <v>0</v>
      </c>
      <c r="P37" s="100" t="n">
        <f aca="false">IFERROR(P36-M37/Q$50,0)</f>
        <v>0</v>
      </c>
      <c r="Q37" s="100" t="n">
        <f aca="false">IFERROR(Q36-M37/Q$50,0)</f>
        <v>0</v>
      </c>
    </row>
    <row r="38" customFormat="false" ht="15" hidden="false" customHeight="false" outlineLevel="0" collapsed="false">
      <c r="A38" s="95" t="s">
        <v>85</v>
      </c>
      <c r="B38" s="98" t="n">
        <f aca="false">C$2+4</f>
        <v>4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65" t="n">
        <f aca="false">SUM(C38:L38)</f>
        <v>0</v>
      </c>
      <c r="N38" s="100" t="n">
        <f aca="false">IFERROR(N37-M38/Q$50,0)</f>
        <v>0</v>
      </c>
      <c r="O38" s="100" t="n">
        <f aca="false">IFERROR(O37-M38/Q$50,0)</f>
        <v>0</v>
      </c>
      <c r="P38" s="100" t="n">
        <f aca="false">IFERROR(P37-M38/Q$50,0)</f>
        <v>0</v>
      </c>
      <c r="Q38" s="100" t="n">
        <f aca="false">IFERROR(Q37-M38/Q$50,0)</f>
        <v>0</v>
      </c>
    </row>
    <row r="39" customFormat="false" ht="15" hidden="false" customHeight="false" outlineLevel="0" collapsed="false">
      <c r="A39" s="95" t="s">
        <v>86</v>
      </c>
      <c r="B39" s="98" t="n">
        <f aca="false">C$2+5</f>
        <v>5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65" t="n">
        <f aca="false">SUM(C39:L39)</f>
        <v>0</v>
      </c>
      <c r="N39" s="100" t="n">
        <f aca="false">IFERROR(N38-M39/Q$50,0)</f>
        <v>0</v>
      </c>
      <c r="O39" s="100" t="n">
        <f aca="false">IFERROR(O38-M39/Q$50,0)</f>
        <v>0</v>
      </c>
      <c r="P39" s="100" t="n">
        <f aca="false">IFERROR(P38-M39/Q$50,0)</f>
        <v>0</v>
      </c>
      <c r="Q39" s="100" t="n">
        <f aca="false">IFERROR(Q38-M39/Q$50,0)</f>
        <v>0</v>
      </c>
    </row>
    <row r="40" customFormat="false" ht="15" hidden="false" customHeight="true" outlineLevel="0" collapsed="false">
      <c r="A40" s="95" t="s">
        <v>87</v>
      </c>
      <c r="B40" s="98" t="n">
        <f aca="false">C$2+6</f>
        <v>6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65" t="n">
        <f aca="false">SUM(C40:L40)</f>
        <v>0</v>
      </c>
      <c r="N40" s="100" t="n">
        <f aca="false">IFERROR(N39-M40/Q$50,0)</f>
        <v>0</v>
      </c>
      <c r="O40" s="100" t="n">
        <f aca="false">IFERROR(O39-M40/Q$50,0)</f>
        <v>0</v>
      </c>
      <c r="P40" s="100" t="n">
        <f aca="false">IFERROR(P39-M40/Q$50,0)</f>
        <v>0</v>
      </c>
      <c r="Q40" s="100" t="n">
        <f aca="false">IFERROR(Q39-M40/Q$50,0)</f>
        <v>0</v>
      </c>
    </row>
    <row r="41" customFormat="false" ht="12" hidden="false" customHeight="true" outlineLevel="0" collapsed="false">
      <c r="A41" s="95" t="s">
        <v>88</v>
      </c>
      <c r="B41" s="98" t="n">
        <f aca="false">C$2+7</f>
        <v>7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65" t="n">
        <f aca="false">SUM(C41:L41)</f>
        <v>0</v>
      </c>
      <c r="N41" s="100" t="n">
        <f aca="false">IFERROR(N40-M41/Q$50,0)</f>
        <v>0</v>
      </c>
      <c r="O41" s="100" t="n">
        <f aca="false">IFERROR(O40-M41/Q$50,0)</f>
        <v>0</v>
      </c>
      <c r="P41" s="100" t="n">
        <f aca="false">IFERROR(P40-M41/Q$50,0)</f>
        <v>0</v>
      </c>
      <c r="Q41" s="100" t="n">
        <f aca="false">IFERROR(Q40-M41/Q$50,0)</f>
        <v>0</v>
      </c>
    </row>
    <row r="42" customFormat="false" ht="15" hidden="false" customHeight="false" outlineLevel="0" collapsed="false">
      <c r="A42" s="95" t="s">
        <v>82</v>
      </c>
      <c r="B42" s="98" t="n">
        <f aca="false">C$2+8</f>
        <v>8</v>
      </c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65" t="n">
        <f aca="false">SUM(C42:L42)</f>
        <v>0</v>
      </c>
      <c r="N42" s="100" t="n">
        <f aca="false">IFERROR(N41-M42/Q$50,0)</f>
        <v>0</v>
      </c>
      <c r="O42" s="100" t="n">
        <f aca="false">IFERROR(O41-M42/Q$50,0)</f>
        <v>0</v>
      </c>
      <c r="P42" s="100" t="n">
        <f aca="false">IFERROR(P41-M42/Q$50,0)</f>
        <v>0</v>
      </c>
      <c r="Q42" s="100" t="n">
        <f aca="false">IFERROR(Q41-M42/Q$50,0)</f>
        <v>0</v>
      </c>
    </row>
    <row r="43" customFormat="false" ht="15" hidden="false" customHeight="false" outlineLevel="0" collapsed="false">
      <c r="A43" s="95" t="s">
        <v>83</v>
      </c>
      <c r="B43" s="98" t="n">
        <f aca="false">C$2+9</f>
        <v>9</v>
      </c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65" t="n">
        <f aca="false">SUM(C43:L43)</f>
        <v>0</v>
      </c>
      <c r="N43" s="100" t="n">
        <f aca="false">IFERROR(N42-M43/Q$50,0)</f>
        <v>0</v>
      </c>
      <c r="O43" s="100" t="n">
        <f aca="false">IFERROR(O42-M43/Q$50,0)</f>
        <v>0</v>
      </c>
      <c r="P43" s="100" t="n">
        <f aca="false">IFERROR(P42-M43/Q$50,0)</f>
        <v>0</v>
      </c>
      <c r="Q43" s="100" t="n">
        <f aca="false">IFERROR(Q42-M43/Q$50,0)</f>
        <v>0</v>
      </c>
    </row>
    <row r="44" customFormat="false" ht="15" hidden="false" customHeight="false" outlineLevel="0" collapsed="false">
      <c r="A44" s="95" t="s">
        <v>84</v>
      </c>
      <c r="B44" s="98" t="n">
        <f aca="false">C$2+10</f>
        <v>10</v>
      </c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65" t="n">
        <f aca="false">SUM(C44:L44)</f>
        <v>0</v>
      </c>
      <c r="N44" s="100" t="n">
        <f aca="false">IFERROR(N43-M44/Q$50,0)</f>
        <v>0</v>
      </c>
      <c r="O44" s="100" t="n">
        <f aca="false">IFERROR(O43-M44/Q$50,0)</f>
        <v>0</v>
      </c>
      <c r="P44" s="100" t="n">
        <f aca="false">IFERROR(P43-M44/Q$50,0)</f>
        <v>0</v>
      </c>
      <c r="Q44" s="100" t="n">
        <f aca="false">IFERROR(Q43-M44/Q$50,0)</f>
        <v>0</v>
      </c>
    </row>
    <row r="45" customFormat="false" ht="15" hidden="false" customHeight="false" outlineLevel="0" collapsed="false">
      <c r="A45" s="95" t="s">
        <v>85</v>
      </c>
      <c r="B45" s="98" t="n">
        <f aca="false">C$2+11</f>
        <v>11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65" t="n">
        <f aca="false">SUM(C45:L45)</f>
        <v>0</v>
      </c>
      <c r="N45" s="100" t="n">
        <f aca="false">IFERROR(N44-M45/Q$50,0)</f>
        <v>0</v>
      </c>
      <c r="O45" s="100" t="n">
        <f aca="false">IFERROR(O44-M45/Q$50,0)</f>
        <v>0</v>
      </c>
      <c r="P45" s="100" t="n">
        <f aca="false">IFERROR(P44-M45/Q$50,0)</f>
        <v>0</v>
      </c>
      <c r="Q45" s="100" t="n">
        <f aca="false">IFERROR(Q44-M45/Q$50,0)</f>
        <v>0</v>
      </c>
    </row>
    <row r="46" customFormat="false" ht="15" hidden="false" customHeight="false" outlineLevel="0" collapsed="false">
      <c r="A46" s="95" t="s">
        <v>86</v>
      </c>
      <c r="B46" s="98" t="n">
        <f aca="false">C$2+12</f>
        <v>12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65" t="n">
        <f aca="false">SUM(C46:L46)</f>
        <v>0</v>
      </c>
      <c r="N46" s="100" t="n">
        <f aca="false">IFERROR(N45-M46/Q$50,0)</f>
        <v>0</v>
      </c>
      <c r="O46" s="100" t="n">
        <f aca="false">IFERROR(O45-M46/Q$50,0)</f>
        <v>0</v>
      </c>
      <c r="P46" s="100" t="n">
        <f aca="false">IFERROR(P45-M46/Q$50,0)</f>
        <v>0</v>
      </c>
      <c r="Q46" s="100" t="n">
        <f aca="false">IFERROR(Q45-M46/Q$50,0)</f>
        <v>0</v>
      </c>
    </row>
    <row r="47" customFormat="false" ht="15" hidden="false" customHeight="false" outlineLevel="0" collapsed="false">
      <c r="A47" s="95" t="s">
        <v>87</v>
      </c>
      <c r="B47" s="98" t="n">
        <f aca="false">C$2+13</f>
        <v>13</v>
      </c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65" t="n">
        <f aca="false">SUM(C47:L47)</f>
        <v>0</v>
      </c>
      <c r="N47" s="100" t="n">
        <f aca="false">IFERROR(N46-M47/Q$50,0)</f>
        <v>0</v>
      </c>
      <c r="O47" s="100" t="n">
        <f aca="false">IFERROR(O46-M47/Q$50,0)</f>
        <v>0</v>
      </c>
      <c r="P47" s="100" t="n">
        <f aca="false">IFERROR(P46-M47/Q$50,0)</f>
        <v>0</v>
      </c>
      <c r="Q47" s="100" t="n">
        <f aca="false">IFERROR(Q46-M47/Q$50,0)</f>
        <v>0</v>
      </c>
    </row>
    <row r="48" customFormat="false" ht="15" hidden="false" customHeight="false" outlineLevel="0" collapsed="false">
      <c r="A48" s="95" t="s">
        <v>88</v>
      </c>
      <c r="B48" s="98" t="n">
        <f aca="false">C$2+14</f>
        <v>14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65" t="n">
        <f aca="false">SUM(C48:L48)</f>
        <v>0</v>
      </c>
      <c r="N48" s="100" t="n">
        <f aca="false">IFERROR(N47-M48/Q$50,0)</f>
        <v>0</v>
      </c>
      <c r="O48" s="100" t="n">
        <f aca="false">IFERROR(O47-M48/Q$50,0)</f>
        <v>0</v>
      </c>
      <c r="P48" s="100" t="n">
        <f aca="false">IFERROR(P47-M48/Q$50,0)</f>
        <v>0</v>
      </c>
      <c r="Q48" s="100" t="n">
        <f aca="false">IFERROR(Q47-M48/Q$50,0)</f>
        <v>0</v>
      </c>
    </row>
    <row r="49" customFormat="false" ht="15" hidden="false" customHeight="false" outlineLevel="0" collapsed="false">
      <c r="B49" s="1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12" t="s">
        <v>89</v>
      </c>
      <c r="O49" s="12" t="s">
        <v>90</v>
      </c>
      <c r="P49" s="25" t="s">
        <v>91</v>
      </c>
      <c r="Q49" s="12" t="s">
        <v>54</v>
      </c>
    </row>
    <row r="50" customFormat="false" ht="15" hidden="false" customHeight="false" outlineLevel="0" collapsed="false">
      <c r="B50" s="3" t="s">
        <v>92</v>
      </c>
      <c r="C50" s="79" t="n">
        <f aca="false">SUM(C35:C48)</f>
        <v>0</v>
      </c>
      <c r="D50" s="79" t="n">
        <f aca="false">SUM(D35:D48)</f>
        <v>0</v>
      </c>
      <c r="E50" s="79" t="n">
        <f aca="false">SUM(E36:E48)</f>
        <v>0</v>
      </c>
      <c r="F50" s="79" t="n">
        <f aca="false">SUM(F36:F48)</f>
        <v>0</v>
      </c>
      <c r="G50" s="79" t="n">
        <f aca="false">SUM(G36:G48)</f>
        <v>0</v>
      </c>
      <c r="H50" s="79" t="n">
        <f aca="false">SUM(H36:H48)</f>
        <v>0</v>
      </c>
      <c r="I50" s="79" t="n">
        <f aca="false">SUM(I36:I48)</f>
        <v>0</v>
      </c>
      <c r="J50" s="79" t="n">
        <f aca="false">SUM(J36:J48)</f>
        <v>0</v>
      </c>
      <c r="K50" s="79" t="n">
        <f aca="false">SUM(K36:K48)</f>
        <v>0</v>
      </c>
      <c r="L50" s="79" t="n">
        <f aca="false">SUM(L36:L48)</f>
        <v>0</v>
      </c>
      <c r="M50" s="79" t="n">
        <f aca="false">SUM(M35:M48)</f>
        <v>0</v>
      </c>
      <c r="N50" s="102" t="n">
        <f aca="false">IFERROR(I26/H27,0)</f>
        <v>0</v>
      </c>
      <c r="O50" s="46" t="n">
        <f aca="false">IFERROR((N34-M50)/Q50,0)</f>
        <v>0</v>
      </c>
      <c r="P50" s="102" t="n">
        <f aca="false">IFERROR(100% -N50,0)</f>
        <v>1</v>
      </c>
      <c r="Q50" s="25" t="n">
        <f aca="false">G19</f>
        <v>0</v>
      </c>
    </row>
    <row r="51" customFormat="false" ht="15" hidden="false" customHeight="false" outlineLevel="0" collapsed="false">
      <c r="O51" s="25"/>
    </row>
  </sheetData>
  <mergeCells count="1">
    <mergeCell ref="A1:A9"/>
  </mergeCells>
  <dataValidations count="48">
    <dataValidation allowBlank="true" errorStyle="stop" operator="between" showDropDown="false" showErrorMessage="true" showInputMessage="true" sqref="B2" type="list">
      <formula1>"Monday,Tuesday,Wednesday,Thursday,Friday,Saturday,Sunday"</formula1>
      <formula2>0</formula2>
    </dataValidation>
    <dataValidation allowBlank="true" error="Please enter a valid date format." errorStyle="stop" errorTitle="Invalid Date" operator="between" prompt="Please enter a valid date (e.g., 5/4/2026)" promptTitle="Date Entry" showDropDown="false" showErrorMessage="true" showInputMessage="true" sqref="C2" type="date">
      <formula1>1</formula1>
      <formula2>73415</formula2>
    </dataValidation>
    <dataValidation allowBlank="true" error="Please enter a valid time format (e.g., 11:22 AM, 14:30)" errorStyle="stop" errorTitle="Invalid Time" operator="between" prompt="Please enter a valid time (e.g., 11:22 AM, 14:30, 8:08:00 AM)" promptTitle="Time Entry" showDropDown="false" showErrorMessage="true" showInputMessage="true" sqref="D2" type="time">
      <formula1>0</formula1>
      <formula2>0.999988425925926</formula2>
    </dataValidation>
    <dataValidation allowBlank="true" error="Please enter a valid dollar amount (numbers only, e.g., 100.00)" errorStyle="stop" errorTitle="Invalid Amount" operator="between" prompt="Please enter a dollar amount (e.g., 100.00, 250.50)" promptTitle="Saved Amount" showDropDown="false" showErrorMessage="true" showInputMessage="true" sqref="E2" type="decimal">
      <formula1>0</formula1>
      <formula2>999999999.99</formula2>
    </dataValidation>
    <dataValidation allowBlank="true" error="Please enter a valid dollar amount (numbers only)." errorStyle="stop" errorTitle="Invalid Amount" operator="between" prompt="Please enter a dollar amount for fuel (e.g., 50.00, 125.75)" promptTitle="Fuel Amount" showDropDown="false" showErrorMessage="true" showInputMessage="true" sqref="F2" type="decimal">
      <formula1>0</formula1>
      <formula2>999999999.99</formula2>
    </dataValidation>
    <dataValidation allowBlank="true" error="Please enter a valid dollar amount (number between 0 and 999,999,999.99)" errorStyle="stop" errorTitle="Invalid Amount" operator="between" prompt="Please enter a dollar amount for bank savings (e.g., 100.00, 250.50)" promptTitle="Bank Saved Amount" showDropDown="false" showErrorMessage="true" showInputMessage="true" sqref="H2" type="decimal">
      <formula1>0</formula1>
      <formula2>999999999.99</formula2>
    </dataValidation>
    <dataValidation allowBlank="true" error="This cell contains a formula. Please edit E2 or G2 instead." errorStyle="stop" errorTitle="Invalid Entry" operator="between" prompt="This cell calculates the total credit card amount (Saved + Bank)" promptTitle="Total Credit Card" showDropDown="false" showErrorMessage="true" showInputMessage="true" sqref="I2" type="decimal">
      <formula1>0</formula1>
      <formula2>999999999.99</formula2>
    </dataValidation>
    <dataValidation allowBlank="true" error="Please enter a valid date format (e.g., 5/15/2026)" errorStyle="stop" errorTitle="Invalid Date" operator="between" prompt="Please enter a valid date (e.g., 5/15/2026)" promptTitle="Estimated Pay Drop Date" showDropDown="false" showErrorMessage="true" showInputMessage="true" sqref="H11" type="date">
      <formula1>1</formula1>
      <formula2>73415</formula2>
    </dataValidation>
    <dataValidation allowBlank="true" error="Please enter a valid date format (e.g., 5/15/2026)" errorStyle="stop" errorTitle="Invalid Date" operator="between" prompt="Please enter a valid date (e.g., 5/15/2026)" promptTitle="CM1 Final Due Date" showDropDown="false" showErrorMessage="true" showInputMessage="true" sqref="Q4 H13" type="date">
      <formula1>1</formula1>
      <formula2>73415</formula2>
    </dataValidation>
    <dataValidation allowBlank="true" error="Please enter a valid date format (e.g., 5/15/2026)" errorStyle="stop" errorTitle="Invalid Date" operator="between" prompt="Please enter a valid date (e.g., 5/15/2026)" promptTitle="CM2 Final Due Date" showDropDown="false" showErrorMessage="true" showInputMessage="true" sqref="H14" type="date">
      <formula1>1</formula1>
      <formula2>73415</formula2>
    </dataValidation>
    <dataValidation allowBlank="true" error="Please enter a valid date format." errorStyle="stop" errorTitle="Invalid Date" operator="between" prompt="Please enter a valid date (e.g., 5/4/2026)" promptTitle="As-Of Date (Mortgage)" showDropDown="false" showErrorMessage="true" showInputMessage="true" sqref="E25" type="date">
      <formula1>1</formula1>
      <formula2>73415</formula2>
    </dataValidation>
    <dataValidation allowBlank="true" error="Please enter a valid date format." errorStyle="stop" errorTitle="Invalid Date" operator="between" prompt="Please enter a valid date (e.g., 5/4/2026)" promptTitle="As-Of Date (Boost Savings)" showDropDown="false" showErrorMessage="true" showInputMessage="true" sqref="E29" type="date">
      <formula1>1</formula1>
      <formula2>73415</formula2>
    </dataValidation>
    <dataValidation allowBlank="true" error="Please enter a valid date format." errorStyle="stop" errorTitle="Invalid Date" operator="between" prompt="Please enter a valid date (e.g., 5/4/2026)" promptTitle="Predicted Pay Drop Date" showDropDown="false" showErrorMessage="true" showInputMessage="true" sqref="F19" type="date">
      <formula1>1</formula1>
      <formula2>73415</formula2>
    </dataValidation>
    <dataValidation allowBlank="true" error="Please enter a valid date format." errorStyle="stop" errorTitle="Invalid Date" operator="between" prompt="Please enter a valid date (e.g., 5/4/2026)" promptTitle="CM 1 Due On" showDropDown="false" showErrorMessage="true" showInputMessage="true" sqref="F21" type="date">
      <formula1>1</formula1>
      <formula2>73415</formula2>
    </dataValidation>
    <dataValidation allowBlank="true" error="Please enter a valid date format." errorStyle="stop" errorTitle="Invalid Date" operator="between" prompt="Please enter a valid date (e.g., 5/4/2026)" promptTitle="CM 2 Due On" showDropDown="false" showErrorMessage="true" showInputMessage="true" sqref="F23" type="date">
      <formula1>1</formula1>
      <formula2>73415</formula2>
    </dataValidation>
    <dataValidation allowBlank="true" error="Please enter a valid dollar amount." errorStyle="stop" errorTitle="Invalid Amount" operator="between" prompt="Please enter a dollar amount (e.g., 100.00, 250.50)" promptTitle="Bank Amount" showDropDown="false" showErrorMessage="true" showInputMessage="true" sqref="G2" type="decimal">
      <formula1>0</formula1>
      <formula2>999999999.99</formula2>
    </dataValidation>
    <dataValidation allowBlank="true" error="Please enter a valid date format." errorStyle="stop" errorTitle="Invalid Date" operator="between" prompt="Please enter a valid date (e.g., 5/4/2026)" promptTitle="HOA As-Of Date" showDropDown="false" showErrorMessage="true" showInputMessage="true" sqref="E26" type="date">
      <formula1>1</formula1>
      <formula2>73415</formula2>
    </dataValidation>
    <dataValidation allowBlank="true" error="Please enter a valid date format." errorStyle="stop" errorTitle="Invalid Date" operator="between" prompt="Please enter a valid date (e.g., 5/4/2026)" promptTitle="Vacation Savings As-Of Date" showDropDown="false" showErrorMessage="true" showInputMessage="true" sqref="E27" type="date">
      <formula1>1</formula1>
      <formula2>73415</formula2>
    </dataValidation>
    <dataValidation allowBlank="true" error="Please enter a valid date format." errorStyle="stop" errorTitle="Invalid Date" operator="between" prompt="Please enter a valid date (e.g., 5/4/2026)" promptTitle="Emergency Savings As-Of Date" showDropDown="false" showErrorMessage="true" showInputMessage="true" sqref="E28" type="date">
      <formula1>1</formula1>
      <formula2>73415</formula2>
    </dataValidation>
    <dataValidation allowBlank="true" error="Please enter a valid dollar amount." errorStyle="stop" errorTitle="Invalid Amount" operator="between" prompt="Please enter a dollar amount (e.g., 100.00, 250.50)" promptTitle="Savings Balance" showDropDown="false" showErrorMessage="true" showInputMessage="true" sqref="C3:C10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Power Amount" showDropDown="false" showErrorMessage="true" showInputMessage="true" sqref="D3:D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Water Amount" showDropDown="false" showErrorMessage="true" showInputMessage="true" sqref="E4:E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Debt Amount" showDropDown="false" showErrorMessage="true" showInputMessage="true" sqref="B13:B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Minimum Payment" showDropDown="false" showErrorMessage="true" showInputMessage="true" sqref="C13:C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Left 2 Go" showDropDown="false" showErrorMessage="true" showInputMessage="true" sqref="D13:D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Next Attack Amount" showDropDown="false" showErrorMessage="true" showInputMessage="true" sqref="E13:E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Remaining After Attack" showDropDown="false" showErrorMessage="true" showInputMessage="true" sqref="F13:F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Payment Amount" showDropDown="false" showErrorMessage="true" showInputMessage="true" sqref="I13:I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Last Statement Balance" showDropDown="false" showErrorMessage="true" showInputMessage="true" sqref="J13:J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Next Minimum" showDropDown="false" showErrorMessage="true" showInputMessage="true" sqref="L13:L15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Tank Amount" showDropDown="false" showErrorMessage="true" showInputMessage="true" sqref="D25:D29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Monthly Minimum" showDropDown="false" showErrorMessage="true" showInputMessage="true" sqref="J20:J22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2 Week Spending" showDropDown="false" showErrorMessage="true" showInputMessage="true" sqref="M35:M48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Holding Tank" showDropDown="false" showErrorMessage="true" showInputMessage="true" sqref="E11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Decrease Amount" showDropDown="false" showErrorMessage="true" showInputMessage="true" sqref="D18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Total Amount" showDropDown="false" showErrorMessage="true" showInputMessage="true" sqref="H25:H29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Tank Total" showDropDown="false" showErrorMessage="true" showInputMessage="true" sqref="D30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CM Total After Full Attack" showDropDown="false" showErrorMessage="true" showInputMessage="true" sqref="J4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Amount" showDropDown="false" showErrorMessage="true" showInputMessage="true" sqref="G3:G4 I3:I4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Current POR" showDropDown="false" showErrorMessage="true" showInputMessage="true" sqref="I26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All In POR" showDropDown="false" showErrorMessage="true" showInputMessage="true" sqref="J26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Target All-In POR (ROI)" showDropDown="false" showErrorMessage="true" showInputMessage="true" sqref="K26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Status Amount" showDropDown="false" showErrorMessage="true" showInputMessage="true" sqref="L20:L22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Available Amount" showDropDown="false" showErrorMessage="true" showInputMessage="true" sqref="J23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Monthly Minimum Status" showDropDown="false" showErrorMessage="true" showInputMessage="true" sqref="L23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Total" showDropDown="false" showErrorMessage="true" showInputMessage="true" sqref="C50:M50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Use Amount" showDropDown="false" showErrorMessage="true" showInputMessage="true" sqref="F3:F4" type="decimal">
      <formula1>0</formula1>
      <formula2>999999999.99</formula2>
    </dataValidation>
    <dataValidation allowBlank="true" error="Please enter a valid dollar amount." errorStyle="stop" errorTitle="Invalid Amount" operator="between" prompt="Please enter a dollar amount (e.g., 100.00, 250.50)" promptTitle="Dollar Amount" showDropDown="false" showErrorMessage="true" showInputMessage="true" sqref="B17:B28" type="decimal">
      <formula1>0</formula1>
      <formula2>999999999.99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28125" defaultRowHeight="15" zeroHeight="false" outlineLevelRow="0" outlineLevelCol="0"/>
  <cols>
    <col collapsed="false" customWidth="true" hidden="false" outlineLevel="0" max="1" min="1" style="0" width="15.16"/>
    <col collapsed="false" customWidth="true" hidden="false" outlineLevel="0" max="3" min="2" style="0" width="26.5"/>
    <col collapsed="false" customWidth="true" hidden="false" outlineLevel="0" max="4" min="4" style="0" width="13.83"/>
    <col collapsed="false" customWidth="true" hidden="false" outlineLevel="0" max="5" min="5" style="0" width="20.5"/>
    <col collapsed="false" customWidth="true" hidden="false" outlineLevel="0" max="6" min="6" style="0" width="27.5"/>
    <col collapsed="false" customWidth="true" hidden="false" outlineLevel="0" max="7" min="7" style="0" width="20.5"/>
    <col collapsed="false" customWidth="true" hidden="false" outlineLevel="0" max="8" min="8" style="0" width="15.51"/>
    <col collapsed="false" customWidth="true" hidden="false" outlineLevel="0" max="9" min="9" style="0" width="23.51"/>
    <col collapsed="false" customWidth="true" hidden="false" outlineLevel="0" max="10" min="10" style="1" width="24.51"/>
    <col collapsed="false" customWidth="true" hidden="false" outlineLevel="0" max="11" min="11" style="0" width="23.51"/>
    <col collapsed="false" customWidth="true" hidden="false" outlineLevel="0" max="12" min="12" style="0" width="24.51"/>
    <col collapsed="false" customWidth="true" hidden="false" outlineLevel="0" max="13" min="13" style="0" width="35.84"/>
    <col collapsed="false" customWidth="true" hidden="false" outlineLevel="0" max="14" min="14" style="0" width="21"/>
    <col collapsed="false" customWidth="true" hidden="false" outlineLevel="0" max="15" min="15" style="0" width="25.5"/>
    <col collapsed="false" customWidth="true" hidden="false" outlineLevel="0" max="16" min="16" style="0" width="26.16"/>
    <col collapsed="false" customWidth="true" hidden="false" outlineLevel="0" max="17" min="17" style="0" width="23.51"/>
    <col collapsed="false" customWidth="true" hidden="false" outlineLevel="0" max="18" min="18" style="0" width="15.51"/>
    <col collapsed="false" customWidth="true" hidden="false" outlineLevel="0" max="20" min="19" style="0" width="11.5"/>
    <col collapsed="false" customWidth="true" hidden="false" outlineLevel="0" max="21" min="21" style="0" width="24.51"/>
    <col collapsed="false" customWidth="true" hidden="false" outlineLevel="0" max="22" min="22" style="0" width="16.16"/>
    <col collapsed="false" customWidth="true" hidden="false" outlineLevel="0" max="23" min="23" style="0" width="14.51"/>
  </cols>
  <sheetData>
    <row r="1" customFormat="false" ht="15" hidden="false" customHeight="false" outlineLevel="0" collapsed="false">
      <c r="A1" s="61"/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3" t="s">
        <v>7</v>
      </c>
    </row>
    <row r="2" customFormat="false" ht="15.75" hidden="false" customHeight="false" outlineLevel="0" collapsed="false">
      <c r="A2" s="61"/>
      <c r="B2" s="103" t="s">
        <v>82</v>
      </c>
      <c r="C2" s="103" t="n">
        <v>45530</v>
      </c>
      <c r="D2" s="5" t="n">
        <v>0.338888888888889</v>
      </c>
      <c r="E2" s="11"/>
      <c r="F2" s="104" t="n">
        <v>0</v>
      </c>
      <c r="G2" s="105" t="n">
        <f aca="false">C3</f>
        <v>0</v>
      </c>
      <c r="H2" s="11" t="n">
        <v>0</v>
      </c>
      <c r="I2" s="11" t="n">
        <f aca="false">E2+G2</f>
        <v>0</v>
      </c>
      <c r="J2" s="10"/>
      <c r="K2" s="11"/>
      <c r="L2" s="11"/>
      <c r="M2" s="11"/>
      <c r="N2" s="11"/>
      <c r="O2" s="11"/>
      <c r="P2" s="11"/>
    </row>
    <row r="3" customFormat="false" ht="33" hidden="false" customHeight="false" outlineLevel="0" collapsed="false">
      <c r="A3" s="61"/>
      <c r="B3" s="12" t="s">
        <v>8</v>
      </c>
      <c r="C3" s="106" t="n">
        <f aca="false">IF(J23&gt;L23,D3,D3-(L23-J23)+G17)</f>
        <v>0</v>
      </c>
      <c r="D3" s="107" t="n">
        <v>0</v>
      </c>
      <c r="F3" s="11" t="n">
        <f aca="false">-F2+500</f>
        <v>500</v>
      </c>
      <c r="G3" s="11" t="n">
        <f aca="false">E2</f>
        <v>0</v>
      </c>
      <c r="I3" s="11" t="n">
        <f aca="false">F2+C9</f>
        <v>0</v>
      </c>
      <c r="J3" s="15" t="s">
        <v>9</v>
      </c>
      <c r="K3" s="16"/>
      <c r="Q3" s="3" t="s">
        <v>93</v>
      </c>
    </row>
    <row r="4" customFormat="false" ht="15" hidden="false" customHeight="false" outlineLevel="0" collapsed="false">
      <c r="A4" s="61"/>
      <c r="B4" s="0" t="s">
        <v>11</v>
      </c>
      <c r="C4" s="11" t="n">
        <v>0</v>
      </c>
      <c r="D4" s="25" t="s">
        <v>12</v>
      </c>
      <c r="E4" s="25" t="s">
        <v>13</v>
      </c>
      <c r="F4" s="108" t="n">
        <f aca="false">F3+F2</f>
        <v>500</v>
      </c>
      <c r="G4" s="108" t="n">
        <f aca="false">G2+G3</f>
        <v>0</v>
      </c>
      <c r="I4" s="109" t="n">
        <f aca="false">SUM(I2:I3)</f>
        <v>0</v>
      </c>
      <c r="J4" s="110" t="n">
        <f aca="false">B12+I4+G17</f>
        <v>0</v>
      </c>
      <c r="K4" s="12" t="str">
        <f aca="false">IF(J4&gt;=0, "Fuel Up", "Left Over Debt")</f>
        <v>Fuel Up</v>
      </c>
      <c r="M4" s="22" t="str">
        <f aca="false">IF(M5 ="&lt;---------------------&gt;","MAXED OUT","")</f>
        <v/>
      </c>
      <c r="N4" s="23" t="s">
        <v>14</v>
      </c>
      <c r="O4" s="24"/>
      <c r="P4" s="25" t="s">
        <v>15</v>
      </c>
      <c r="Q4" s="16" t="n">
        <f aca="false">H$11</f>
        <v>45530</v>
      </c>
    </row>
    <row r="5" customFormat="false" ht="15" hidden="false" customHeight="false" outlineLevel="0" collapsed="false">
      <c r="A5" s="61"/>
      <c r="B5" s="0" t="s">
        <v>17</v>
      </c>
      <c r="C5" s="11" t="n">
        <f aca="false">SUM(D5:E5)-E11</f>
        <v>0</v>
      </c>
      <c r="D5" s="33" t="n">
        <v>0</v>
      </c>
      <c r="E5" s="33" t="n">
        <v>0</v>
      </c>
      <c r="F5" s="12" t="s">
        <v>18</v>
      </c>
      <c r="G5" s="11"/>
      <c r="I5" s="28"/>
      <c r="J5" s="29"/>
      <c r="M5" s="22" t="str">
        <f aca="false">IF(B$12&lt;O5, "&lt;---------------------&gt;", "")</f>
        <v/>
      </c>
      <c r="N5" s="30"/>
      <c r="O5" s="12" t="n">
        <v>-7500</v>
      </c>
      <c r="P5" s="34" t="str">
        <f aca="false">IF(J$4&lt;O5, "&lt;", "")</f>
        <v/>
      </c>
    </row>
    <row r="6" customFormat="false" ht="15" hidden="false" customHeight="false" outlineLevel="0" collapsed="false">
      <c r="A6" s="61"/>
      <c r="B6" s="0" t="s">
        <v>20</v>
      </c>
      <c r="C6" s="11" t="n">
        <f aca="false">SUM(D6:E6)</f>
        <v>0</v>
      </c>
      <c r="D6" s="33" t="n">
        <v>0</v>
      </c>
      <c r="E6" s="33" t="n">
        <f aca="false">0-F6</f>
        <v>0</v>
      </c>
      <c r="F6" s="33" t="n">
        <v>0</v>
      </c>
      <c r="J6" s="10"/>
      <c r="K6" s="16"/>
      <c r="M6" s="22" t="str">
        <f aca="false">IF(B$12&lt;O6, "&lt;---------------------&gt;", "")</f>
        <v/>
      </c>
      <c r="N6" s="30"/>
      <c r="O6" s="12" t="n">
        <v>-7200</v>
      </c>
      <c r="P6" s="34" t="str">
        <f aca="false">IF(J$4&lt;O6, "&lt;", "")</f>
        <v/>
      </c>
    </row>
    <row r="7" customFormat="false" ht="15" hidden="false" customHeight="false" outlineLevel="0" collapsed="false">
      <c r="A7" s="61"/>
      <c r="B7" s="0" t="s">
        <v>21</v>
      </c>
      <c r="C7" s="11" t="n">
        <f aca="false">SUM(D7:E7)</f>
        <v>0</v>
      </c>
      <c r="D7" s="33" t="n">
        <f aca="false">0+D28</f>
        <v>0</v>
      </c>
      <c r="E7" s="33" t="n">
        <f aca="false">0-F7</f>
        <v>0</v>
      </c>
      <c r="F7" s="33" t="n">
        <v>0</v>
      </c>
      <c r="J7" s="10"/>
      <c r="M7" s="22" t="str">
        <f aca="false">IF(B$12&lt;O7, "&lt;---------------------&gt;", "")</f>
        <v/>
      </c>
      <c r="N7" s="30"/>
      <c r="O7" s="12" t="n">
        <v>-6900</v>
      </c>
      <c r="P7" s="34" t="str">
        <f aca="false">IF(J$4&lt;O7, "&lt;", "")</f>
        <v/>
      </c>
    </row>
    <row r="8" customFormat="false" ht="15" hidden="false" customHeight="false" outlineLevel="0" collapsed="false">
      <c r="A8" s="61"/>
      <c r="B8" s="0" t="s">
        <v>22</v>
      </c>
      <c r="C8" s="11" t="n">
        <f aca="false">SUM(D8:E8)</f>
        <v>0</v>
      </c>
      <c r="D8" s="33" t="n">
        <f aca="false">0+D29</f>
        <v>0</v>
      </c>
      <c r="E8" s="33" t="n">
        <f aca="false">0-F8</f>
        <v>0</v>
      </c>
      <c r="F8" s="33" t="n">
        <v>0</v>
      </c>
      <c r="J8" s="10"/>
      <c r="M8" s="22" t="str">
        <f aca="false">IF(B$12&lt;O8, "&lt;---------------------&gt;", "")</f>
        <v/>
      </c>
      <c r="N8" s="30"/>
      <c r="O8" s="12" t="n">
        <v>-6600</v>
      </c>
      <c r="P8" s="34" t="str">
        <f aca="false">IF(J$4&lt;O8, "&lt;", "")</f>
        <v/>
      </c>
    </row>
    <row r="9" customFormat="false" ht="44.25" hidden="false" customHeight="true" outlineLevel="0" collapsed="false">
      <c r="A9" s="61"/>
      <c r="B9" s="35" t="s">
        <v>23</v>
      </c>
      <c r="C9" s="111" t="n">
        <f aca="false">SUM(D9:E9)</f>
        <v>0</v>
      </c>
      <c r="D9" s="33" t="n">
        <v>0</v>
      </c>
      <c r="E9" s="33" t="n">
        <f aca="false">0-F9</f>
        <v>0</v>
      </c>
      <c r="F9" s="33" t="n">
        <v>0</v>
      </c>
      <c r="G9" s="11"/>
      <c r="J9" s="10"/>
      <c r="M9" s="22" t="str">
        <f aca="false">IF(B$12&lt;O9, "&lt;---------------------&gt;", "")</f>
        <v/>
      </c>
      <c r="N9" s="30"/>
      <c r="O9" s="12" t="n">
        <v>-6300</v>
      </c>
      <c r="P9" s="34" t="str">
        <f aca="false">IF(J$4&lt;O9, "&lt;", "")</f>
        <v/>
      </c>
    </row>
    <row r="10" customFormat="false" ht="31.5" hidden="false" customHeight="false" outlineLevel="0" collapsed="false">
      <c r="B10" s="0" t="s">
        <v>24</v>
      </c>
      <c r="C10" s="11" t="n">
        <f aca="false">C3</f>
        <v>0</v>
      </c>
      <c r="D10" s="33"/>
      <c r="E10" s="33"/>
      <c r="F10" s="11"/>
      <c r="H10" s="37" t="s">
        <v>94</v>
      </c>
      <c r="J10" s="10"/>
      <c r="M10" s="22" t="str">
        <f aca="false">IF(B$12&lt;O10, "&lt;---------------------&gt;", "")</f>
        <v/>
      </c>
      <c r="N10" s="30"/>
      <c r="O10" s="12" t="n">
        <v>-6000</v>
      </c>
      <c r="P10" s="34" t="str">
        <f aca="false">IF(J$4&lt;O10, "&lt;", "")</f>
        <v/>
      </c>
    </row>
    <row r="11" customFormat="false" ht="15.75" hidden="false" customHeight="false" outlineLevel="0" collapsed="false">
      <c r="A11" s="0" t="s">
        <v>95</v>
      </c>
      <c r="B11" s="38" t="s">
        <v>96</v>
      </c>
      <c r="C11" s="11"/>
      <c r="D11" s="0" t="s">
        <v>28</v>
      </c>
      <c r="E11" s="11" t="n">
        <f aca="false">F6+F7+F8+F9+D27</f>
        <v>0</v>
      </c>
      <c r="H11" s="112" t="n">
        <v>45530</v>
      </c>
      <c r="M11" s="22" t="str">
        <f aca="false">IF(B$12&lt;O11, "&lt;---------------------&gt;", "")</f>
        <v/>
      </c>
      <c r="N11" s="30"/>
      <c r="O11" s="12" t="n">
        <v>-5700</v>
      </c>
      <c r="P11" s="34" t="str">
        <f aca="false">IF(J$4&lt;O11, "&lt;", "")</f>
        <v/>
      </c>
      <c r="Q11" s="39"/>
    </row>
    <row r="12" customFormat="false" ht="15.75" hidden="false" customHeight="false" outlineLevel="0" collapsed="false">
      <c r="A12" s="12" t="s">
        <v>29</v>
      </c>
      <c r="B12" s="40" t="n">
        <f aca="false">-B15</f>
        <v>0</v>
      </c>
      <c r="C12" s="12" t="s">
        <v>30</v>
      </c>
      <c r="D12" s="41" t="s">
        <v>31</v>
      </c>
      <c r="E12" s="12" t="s">
        <v>32</v>
      </c>
      <c r="F12" s="15" t="s">
        <v>97</v>
      </c>
      <c r="G12" s="12" t="s">
        <v>34</v>
      </c>
      <c r="H12" s="12" t="s">
        <v>35</v>
      </c>
      <c r="I12" s="12" t="s">
        <v>36</v>
      </c>
      <c r="J12" s="12" t="s">
        <v>37</v>
      </c>
      <c r="K12" s="12" t="s">
        <v>38</v>
      </c>
      <c r="L12" s="12" t="s">
        <v>39</v>
      </c>
      <c r="M12" s="22" t="str">
        <f aca="false">IF(B$12&lt;O12, "&lt;---------------------&gt;", "")</f>
        <v/>
      </c>
      <c r="N12" s="42"/>
      <c r="O12" s="12" t="n">
        <v>-5400</v>
      </c>
      <c r="P12" s="34" t="str">
        <f aca="false">IF(J$4&lt;O12, "&lt;", "")</f>
        <v/>
      </c>
      <c r="Q12" s="39"/>
    </row>
    <row r="13" customFormat="false" ht="15" hidden="false" customHeight="false" outlineLevel="0" collapsed="false">
      <c r="A13" s="35" t="s">
        <v>40</v>
      </c>
      <c r="B13" s="33" t="n">
        <v>0</v>
      </c>
      <c r="C13" s="50" t="n">
        <v>0</v>
      </c>
      <c r="D13" s="33" t="n">
        <f aca="false">B13-C13</f>
        <v>0</v>
      </c>
      <c r="E13" s="113" t="n">
        <f aca="false">I13</f>
        <v>0</v>
      </c>
      <c r="F13" s="33" t="n">
        <f aca="false">B13-E13</f>
        <v>0</v>
      </c>
      <c r="G13" s="46" t="n">
        <f aca="false">H13-C2</f>
        <v>0</v>
      </c>
      <c r="H13" s="71" t="n">
        <f aca="false">H$11</f>
        <v>45530</v>
      </c>
      <c r="I13" s="33" t="n">
        <v>0</v>
      </c>
      <c r="J13" s="29" t="n">
        <f aca="false">B13</f>
        <v>0</v>
      </c>
      <c r="K13" s="12" t="s">
        <v>41</v>
      </c>
      <c r="L13" s="33" t="n">
        <f aca="false">C13</f>
        <v>0</v>
      </c>
      <c r="M13" s="22" t="str">
        <f aca="false">IF(B$12&lt;O13, "&lt;---------------------&gt;", "")</f>
        <v/>
      </c>
      <c r="N13" s="42"/>
      <c r="O13" s="12" t="n">
        <v>-5100</v>
      </c>
      <c r="P13" s="34" t="str">
        <f aca="false">IF(J$4&lt;O13, "&lt;", "")</f>
        <v/>
      </c>
      <c r="Q13" s="39"/>
    </row>
    <row r="14" customFormat="false" ht="15" hidden="false" customHeight="false" outlineLevel="0" collapsed="false">
      <c r="A14" s="35" t="s">
        <v>42</v>
      </c>
      <c r="B14" s="33" t="n">
        <v>0</v>
      </c>
      <c r="C14" s="50" t="n">
        <v>0</v>
      </c>
      <c r="D14" s="33" t="n">
        <f aca="false">B14-C14</f>
        <v>0</v>
      </c>
      <c r="E14" s="113" t="n">
        <f aca="false">I14</f>
        <v>0</v>
      </c>
      <c r="F14" s="33" t="n">
        <f aca="false">B14-E14</f>
        <v>0</v>
      </c>
      <c r="G14" s="46" t="n">
        <f aca="false">H14-C2</f>
        <v>14</v>
      </c>
      <c r="H14" s="71" t="n">
        <f aca="false">F21</f>
        <v>45544</v>
      </c>
      <c r="I14" s="33" t="n">
        <v>0</v>
      </c>
      <c r="J14" s="29" t="n">
        <f aca="false">B14-0</f>
        <v>0</v>
      </c>
      <c r="K14" s="12" t="s">
        <v>41</v>
      </c>
      <c r="L14" s="33" t="n">
        <f aca="false">C14</f>
        <v>0</v>
      </c>
      <c r="M14" s="22" t="str">
        <f aca="false">IF(B$12&lt;O14, "&lt;---------------------&gt;", "")</f>
        <v/>
      </c>
      <c r="N14" s="42"/>
      <c r="O14" s="12" t="n">
        <v>-4800</v>
      </c>
      <c r="P14" s="34" t="str">
        <f aca="false">IF(J$4&lt;O14, "&lt;", "")</f>
        <v/>
      </c>
      <c r="Q14" s="39"/>
    </row>
    <row r="15" customFormat="false" ht="15" hidden="false" customHeight="false" outlineLevel="0" collapsed="false">
      <c r="A15" s="35" t="s">
        <v>43</v>
      </c>
      <c r="B15" s="114" t="n">
        <f aca="false">SUM(B13:B14)</f>
        <v>0</v>
      </c>
      <c r="C15" s="50" t="n">
        <f aca="false">SUM(C13:C14)</f>
        <v>0</v>
      </c>
      <c r="D15" s="33" t="n">
        <f aca="false">SUM(D13:D14)</f>
        <v>0</v>
      </c>
      <c r="E15" s="113" t="n">
        <f aca="false">SUM(E13:E14)</f>
        <v>0</v>
      </c>
      <c r="F15" s="115" t="n">
        <f aca="false">SUM(F13:F14)</f>
        <v>0</v>
      </c>
      <c r="G15" s="46"/>
      <c r="H15" s="12" t="s">
        <v>44</v>
      </c>
      <c r="I15" s="116" t="n">
        <f aca="false">SUM(I13:I14)</f>
        <v>0</v>
      </c>
      <c r="J15" s="29" t="n">
        <f aca="false">SUM(J13:J14)</f>
        <v>0</v>
      </c>
      <c r="K15" s="12" t="s">
        <v>41</v>
      </c>
      <c r="L15" s="33" t="n">
        <f aca="false">SUM(L13:L14)</f>
        <v>0</v>
      </c>
      <c r="M15" s="22" t="str">
        <f aca="false">IF(B$12&lt;O15, "&lt;---------------------&gt;", "")</f>
        <v/>
      </c>
      <c r="N15" s="42"/>
      <c r="O15" s="12" t="n">
        <v>-4500</v>
      </c>
      <c r="P15" s="34" t="str">
        <f aca="false">IF(J$4&lt;O15, "&lt;", "")</f>
        <v/>
      </c>
      <c r="Q15" s="39"/>
    </row>
    <row r="16" customFormat="false" ht="15" hidden="false" customHeight="false" outlineLevel="0" collapsed="false">
      <c r="B16" s="117"/>
      <c r="E16" s="51" t="s">
        <v>45</v>
      </c>
      <c r="J16" s="52"/>
      <c r="K16" s="31"/>
      <c r="M16" s="22" t="str">
        <f aca="false">IF(B$12&lt;O16, "&lt;---------------------&gt;", "")</f>
        <v/>
      </c>
      <c r="N16" s="42"/>
      <c r="O16" s="12" t="n">
        <v>-4200</v>
      </c>
      <c r="P16" s="34" t="str">
        <f aca="false">IF(J$4&lt;O16, "&lt;", "")</f>
        <v/>
      </c>
      <c r="Q16" s="39"/>
    </row>
    <row r="17" customFormat="false" ht="15" hidden="false" customHeight="false" outlineLevel="0" collapsed="false">
      <c r="A17" s="3" t="s">
        <v>46</v>
      </c>
      <c r="B17" s="91"/>
      <c r="C17" s="12" t="s">
        <v>47</v>
      </c>
      <c r="D17" s="54"/>
      <c r="F17" s="55" t="s">
        <v>48</v>
      </c>
      <c r="G17" s="56"/>
      <c r="H17" s="12"/>
      <c r="J17" s="52"/>
      <c r="K17" s="57"/>
      <c r="M17" s="22" t="str">
        <f aca="false">IF(B$12&lt;O17, "&lt;---------------------&gt;", "")</f>
        <v/>
      </c>
      <c r="N17" s="42"/>
      <c r="O17" s="12" t="n">
        <v>-3900</v>
      </c>
      <c r="P17" s="34" t="str">
        <f aca="false">IF(J$4&lt;O17, "&lt;", "")</f>
        <v/>
      </c>
      <c r="Q17" s="39"/>
    </row>
    <row r="18" customFormat="false" ht="15" hidden="false" customHeight="false" outlineLevel="0" collapsed="false">
      <c r="A18" s="0" t="n">
        <v>1</v>
      </c>
      <c r="B18" s="91"/>
      <c r="C18" s="25" t="str">
        <f aca="false">IF(B28&gt;B17,"Increase","Decrease")</f>
        <v>Decrease</v>
      </c>
      <c r="D18" s="118" t="n">
        <f aca="false">B28-B17</f>
        <v>0</v>
      </c>
      <c r="E18" s="51"/>
      <c r="F18" s="0" t="s">
        <v>25</v>
      </c>
      <c r="G18" s="25" t="s">
        <v>98</v>
      </c>
      <c r="H18" s="25"/>
      <c r="M18" s="22" t="str">
        <f aca="false">IF(B$12&lt;O18, "&lt;---------------------&gt;", "")</f>
        <v/>
      </c>
      <c r="N18" s="42"/>
      <c r="O18" s="12" t="n">
        <v>-3600</v>
      </c>
      <c r="P18" s="34" t="str">
        <f aca="false">IF(J$4&lt;O18, "&lt;", "")</f>
        <v/>
      </c>
      <c r="Q18" s="39"/>
    </row>
    <row r="19" customFormat="false" ht="15" hidden="false" customHeight="false" outlineLevel="0" collapsed="false">
      <c r="A19" s="0" t="n">
        <v>2</v>
      </c>
      <c r="B19" s="91"/>
      <c r="D19" s="12"/>
      <c r="E19" s="0" t="s">
        <v>49</v>
      </c>
      <c r="F19" s="59" t="n">
        <f aca="false">H11</f>
        <v>45530</v>
      </c>
      <c r="G19" s="12" t="n">
        <f aca="false">F19-E23</f>
        <v>0</v>
      </c>
      <c r="H19" s="25" t="s">
        <v>50</v>
      </c>
      <c r="J19" s="25" t="s">
        <v>51</v>
      </c>
      <c r="K19" s="25" t="s">
        <v>52</v>
      </c>
      <c r="L19" s="60" t="s">
        <v>99</v>
      </c>
      <c r="M19" s="22" t="str">
        <f aca="false">IF(B$12&lt;O19, "&lt;---------------------&gt;", "")</f>
        <v/>
      </c>
      <c r="N19" s="42"/>
      <c r="O19" s="12" t="n">
        <v>-3300</v>
      </c>
      <c r="P19" s="34" t="str">
        <f aca="false">IF(J$4&lt;O19, "&lt;", "")</f>
        <v/>
      </c>
      <c r="Q19" s="39"/>
    </row>
    <row r="20" customFormat="false" ht="15.75" hidden="false" customHeight="false" outlineLevel="0" collapsed="false">
      <c r="A20" s="0" t="n">
        <v>3</v>
      </c>
      <c r="B20" s="91"/>
      <c r="D20" s="12"/>
      <c r="E20" s="61"/>
      <c r="F20" s="12" t="n">
        <v>14</v>
      </c>
      <c r="G20" s="62" t="s">
        <v>54</v>
      </c>
      <c r="H20" s="63" t="s">
        <v>55</v>
      </c>
      <c r="I20" s="64" t="s">
        <v>56</v>
      </c>
      <c r="J20" s="119" t="n">
        <f aca="false">I15</f>
        <v>0</v>
      </c>
      <c r="K20" s="62" t="str">
        <f aca="false">IF(J20 &gt;=L20, "Paid", "Owed")</f>
        <v>Paid</v>
      </c>
      <c r="L20" s="73" t="n">
        <f aca="false">L15</f>
        <v>0</v>
      </c>
      <c r="M20" s="22" t="str">
        <f aca="false">IF(B$12&lt;O20, "&lt;---------------------&gt;", "")</f>
        <v/>
      </c>
      <c r="N20" s="42"/>
      <c r="O20" s="12" t="n">
        <v>-3000</v>
      </c>
      <c r="P20" s="34" t="str">
        <f aca="false">IF(J$4&lt;O20, "&lt;", "")</f>
        <v/>
      </c>
      <c r="Q20" s="39"/>
    </row>
    <row r="21" customFormat="false" ht="15.75" hidden="false" customHeight="false" outlineLevel="0" collapsed="false">
      <c r="A21" s="0" t="n">
        <v>4</v>
      </c>
      <c r="B21" s="91"/>
      <c r="D21" s="12"/>
      <c r="E21" s="61"/>
      <c r="F21" s="66" t="n">
        <f aca="false">SUM(F19:F20)</f>
        <v>45544</v>
      </c>
      <c r="G21" s="62" t="str">
        <f aca="false">IMSUB(F23,F21)</f>
        <v>14</v>
      </c>
      <c r="H21" s="63" t="s">
        <v>100</v>
      </c>
      <c r="I21" s="64" t="s">
        <v>58</v>
      </c>
      <c r="J21" s="119" t="n">
        <v>0</v>
      </c>
      <c r="K21" s="62" t="str">
        <f aca="false">IF(J21 =L21, "Paid", "Owed")</f>
        <v>Paid</v>
      </c>
      <c r="L21" s="73" t="n">
        <f aca="false">D25</f>
        <v>0</v>
      </c>
      <c r="M21" s="22" t="str">
        <f aca="false">IF(B$12&lt;O21, "&lt;---------------------&gt;", "")</f>
        <v/>
      </c>
      <c r="N21" s="42"/>
      <c r="O21" s="12" t="n">
        <v>-2700</v>
      </c>
      <c r="P21" s="34" t="str">
        <f aca="false">IF(J$4&lt;O21, "&lt;", "")</f>
        <v/>
      </c>
      <c r="Q21" s="39"/>
    </row>
    <row r="22" customFormat="false" ht="15.75" hidden="false" customHeight="false" outlineLevel="0" collapsed="false">
      <c r="A22" s="0" t="n">
        <v>5</v>
      </c>
      <c r="B22" s="91"/>
      <c r="D22" s="12"/>
      <c r="E22" s="61"/>
      <c r="F22" s="12" t="n">
        <v>14</v>
      </c>
      <c r="G22" s="62" t="s">
        <v>54</v>
      </c>
      <c r="H22" s="63" t="s">
        <v>55</v>
      </c>
      <c r="I22" s="64" t="s">
        <v>60</v>
      </c>
      <c r="J22" s="119" t="n">
        <v>0</v>
      </c>
      <c r="K22" s="62" t="str">
        <f aca="false">IF(J22 =L22, "Paid", "Owed")</f>
        <v>Paid</v>
      </c>
      <c r="L22" s="73" t="n">
        <f aca="false">D26</f>
        <v>0</v>
      </c>
      <c r="M22" s="22" t="str">
        <f aca="false">IF(B$12&lt;O22, "&lt;---------------------&gt;", "")</f>
        <v/>
      </c>
      <c r="N22" s="70"/>
      <c r="O22" s="12" t="n">
        <v>-2400</v>
      </c>
      <c r="P22" s="34" t="str">
        <f aca="false">IF(J$4&lt;O22, "&lt;", "")</f>
        <v/>
      </c>
      <c r="Q22" s="39"/>
    </row>
    <row r="23" customFormat="false" ht="15" hidden="false" customHeight="false" outlineLevel="0" collapsed="false">
      <c r="A23" s="0" t="n">
        <v>6</v>
      </c>
      <c r="B23" s="91"/>
      <c r="D23" s="12"/>
      <c r="E23" s="71" t="n">
        <f aca="false">C2</f>
        <v>45530</v>
      </c>
      <c r="F23" s="72" t="n">
        <f aca="false">SUM(F21:F22)</f>
        <v>45558</v>
      </c>
      <c r="G23" s="62" t="str">
        <f aca="false">IMSUB(F23,E23)</f>
        <v>28</v>
      </c>
      <c r="H23" s="63" t="s">
        <v>100</v>
      </c>
      <c r="I23" s="119" t="s">
        <v>101</v>
      </c>
      <c r="J23" s="110" t="n">
        <f aca="false">SUM(J20:J22)</f>
        <v>0</v>
      </c>
      <c r="K23" s="62" t="str">
        <f aca="false">IF(J23 =L23, "Paid", "Owed")</f>
        <v>Paid</v>
      </c>
      <c r="L23" s="73" t="n">
        <f aca="false">SUM(L20:L22)</f>
        <v>0</v>
      </c>
      <c r="M23" s="22" t="str">
        <f aca="false">IF(B$12&lt;O23, "&lt;---------------------&gt;", "")</f>
        <v/>
      </c>
      <c r="N23" s="70"/>
      <c r="O23" s="12" t="n">
        <v>-2100</v>
      </c>
      <c r="P23" s="34" t="str">
        <f aca="false">IF(J$4&lt;O23, "&lt;", "")</f>
        <v/>
      </c>
      <c r="Q23" s="39"/>
    </row>
    <row r="24" customFormat="false" ht="15.75" hidden="false" customHeight="false" outlineLevel="0" collapsed="false">
      <c r="A24" s="0" t="n">
        <v>7</v>
      </c>
      <c r="B24" s="91"/>
      <c r="C24" s="25" t="s">
        <v>63</v>
      </c>
      <c r="D24" s="12"/>
      <c r="E24" s="11"/>
      <c r="I24" s="74"/>
      <c r="K24" s="25"/>
      <c r="M24" s="22" t="str">
        <f aca="false">IF(B$12&lt;O24, "&lt;---------------------&gt;", "")</f>
        <v/>
      </c>
      <c r="N24" s="70"/>
      <c r="O24" s="12" t="n">
        <v>-1800</v>
      </c>
      <c r="P24" s="34" t="str">
        <f aca="false">IF(J$4&lt;O24, "&lt;", "")</f>
        <v/>
      </c>
      <c r="Q24" s="39"/>
    </row>
    <row r="25" customFormat="false" ht="16.5" hidden="false" customHeight="false" outlineLevel="0" collapsed="false">
      <c r="A25" s="0" t="n">
        <v>8</v>
      </c>
      <c r="B25" s="91"/>
      <c r="C25" s="3" t="str">
        <f aca="false">I21</f>
        <v>Mortgage</v>
      </c>
      <c r="D25" s="74" t="n">
        <v>0</v>
      </c>
      <c r="E25" s="103" t="n">
        <f aca="false">H$11</f>
        <v>45530</v>
      </c>
      <c r="G25" s="15" t="s">
        <v>65</v>
      </c>
      <c r="H25" s="115" t="n">
        <f aca="false">F2</f>
        <v>0</v>
      </c>
      <c r="I25" s="82" t="s">
        <v>66</v>
      </c>
      <c r="J25" s="82" t="s">
        <v>67</v>
      </c>
      <c r="K25" s="83" t="s">
        <v>68</v>
      </c>
      <c r="L25" s="84" t="s">
        <v>69</v>
      </c>
      <c r="M25" s="22" t="str">
        <f aca="false">IF(B$12&lt;O25, "&lt;---------------------&gt;", "")</f>
        <v/>
      </c>
      <c r="N25" s="70"/>
      <c r="O25" s="12" t="n">
        <v>-1500</v>
      </c>
      <c r="P25" s="34" t="str">
        <f aca="false">IF(J$4&lt;O25, "&lt;", "")</f>
        <v/>
      </c>
      <c r="Q25" s="39"/>
    </row>
    <row r="26" customFormat="false" ht="15.75" hidden="false" customHeight="false" outlineLevel="0" collapsed="false">
      <c r="A26" s="0" t="n">
        <v>9</v>
      </c>
      <c r="B26" s="91"/>
      <c r="C26" s="3" t="str">
        <f aca="false">I22</f>
        <v>HOA</v>
      </c>
      <c r="D26" s="74" t="n">
        <v>0</v>
      </c>
      <c r="E26" s="103" t="n">
        <f aca="false">H$11</f>
        <v>45530</v>
      </c>
      <c r="H26" s="116" t="n">
        <f aca="false">G2</f>
        <v>0</v>
      </c>
      <c r="I26" s="89" t="n">
        <f aca="false">G17+C3+F2-I15-M50+E11</f>
        <v>0</v>
      </c>
      <c r="J26" s="89" t="n">
        <f aca="false">G17+C3+C8+F2-M50</f>
        <v>0</v>
      </c>
      <c r="K26" s="120" t="n">
        <v>5000</v>
      </c>
      <c r="L26" s="87" t="str">
        <f aca="false">IF(I26 &lt;= 0, "Freeze Credit Spending","Spend Away")</f>
        <v>Freeze Credit Spending</v>
      </c>
      <c r="M26" s="22" t="str">
        <f aca="false">IF(B$12&lt;O26, "&lt;---------------------&gt;", "")</f>
        <v/>
      </c>
      <c r="N26" s="70"/>
      <c r="O26" s="12" t="n">
        <v>-1200</v>
      </c>
      <c r="P26" s="34" t="str">
        <f aca="false">IF(J$4&lt;O26, "&lt;", "")</f>
        <v/>
      </c>
      <c r="Q26" s="39"/>
    </row>
    <row r="27" customFormat="false" ht="15.75" hidden="false" customHeight="false" outlineLevel="0" collapsed="false">
      <c r="A27" s="0" t="n">
        <v>10</v>
      </c>
      <c r="B27" s="91"/>
      <c r="C27" s="3" t="str">
        <f aca="false">B6</f>
        <v>Vacation Savings</v>
      </c>
      <c r="D27" s="74" t="n">
        <v>0</v>
      </c>
      <c r="E27" s="103" t="n">
        <f aca="false">H$11</f>
        <v>45530</v>
      </c>
      <c r="G27" s="25" t="s">
        <v>70</v>
      </c>
      <c r="H27" s="33" t="n">
        <f aca="false">SUM(H25:H26)</f>
        <v>0</v>
      </c>
      <c r="I27" s="46"/>
      <c r="J27" s="89"/>
      <c r="K27" s="12"/>
      <c r="L27" s="12"/>
      <c r="M27" s="22" t="str">
        <f aca="false">IF(B$12&lt;O27, "&lt;---------------------&gt;", "")</f>
        <v/>
      </c>
      <c r="N27" s="70"/>
      <c r="O27" s="12" t="n">
        <v>-900</v>
      </c>
      <c r="P27" s="34" t="str">
        <f aca="false">IF(J$4&lt;O27, "&lt;", "")</f>
        <v/>
      </c>
      <c r="Q27" s="39"/>
    </row>
    <row r="28" customFormat="false" ht="15" hidden="false" customHeight="false" outlineLevel="0" collapsed="false">
      <c r="A28" s="3" t="s">
        <v>71</v>
      </c>
      <c r="B28" s="91"/>
      <c r="C28" s="3" t="str">
        <f aca="false">B7</f>
        <v>Emergency Savings</v>
      </c>
      <c r="D28" s="33" t="n">
        <v>0</v>
      </c>
      <c r="E28" s="103" t="n">
        <f aca="false">H$11</f>
        <v>45530</v>
      </c>
      <c r="G28" s="12" t="s">
        <v>72</v>
      </c>
      <c r="H28" s="33" t="n">
        <f aca="false">H27-D30</f>
        <v>0</v>
      </c>
      <c r="I28" s="46"/>
      <c r="J28" s="15"/>
      <c r="K28" s="12"/>
      <c r="L28" s="12"/>
      <c r="M28" s="22" t="str">
        <f aca="false">IF(B$12&lt;O28, "&lt;---------------------&gt;", "")</f>
        <v/>
      </c>
      <c r="N28" s="70"/>
      <c r="O28" s="12" t="n">
        <v>-600</v>
      </c>
      <c r="P28" s="34" t="str">
        <f aca="false">IF(J$4&lt;O28, "&lt;", "")</f>
        <v/>
      </c>
      <c r="Q28" s="39"/>
    </row>
    <row r="29" customFormat="false" ht="15" hidden="false" customHeight="false" outlineLevel="0" collapsed="false">
      <c r="A29" s="3"/>
      <c r="B29" s="91"/>
      <c r="C29" s="3" t="str">
        <f aca="false">B8</f>
        <v>Boost Savings</v>
      </c>
      <c r="D29" s="33" t="n">
        <v>0</v>
      </c>
      <c r="E29" s="103" t="n">
        <f aca="false">F$19</f>
        <v>45530</v>
      </c>
      <c r="G29" s="0" t="s">
        <v>73</v>
      </c>
      <c r="H29" s="33" t="n">
        <f aca="false">H27+G17</f>
        <v>0</v>
      </c>
      <c r="I29" s="12"/>
      <c r="J29" s="15"/>
      <c r="K29" s="12"/>
      <c r="L29" s="12"/>
      <c r="M29" s="22" t="str">
        <f aca="false">IF(B$12&lt;O29, "&lt;---------------------&gt;", "")</f>
        <v/>
      </c>
      <c r="N29" s="70"/>
      <c r="O29" s="12" t="n">
        <v>-300</v>
      </c>
      <c r="P29" s="34" t="str">
        <f aca="false">IF(J$4&lt;O29, "&lt;", "")</f>
        <v/>
      </c>
      <c r="Q29" s="39"/>
    </row>
    <row r="30" customFormat="false" ht="15" hidden="false" customHeight="false" outlineLevel="0" collapsed="false">
      <c r="C30" s="3" t="s">
        <v>70</v>
      </c>
      <c r="D30" s="33" t="n">
        <f aca="false">SUM(D25:D28)</f>
        <v>0</v>
      </c>
      <c r="H30" s="12"/>
      <c r="I30" s="12"/>
      <c r="J30" s="15"/>
      <c r="K30" s="12"/>
      <c r="L30" s="12"/>
      <c r="M30" s="22" t="str">
        <f aca="false">IF(B$12&lt;O30, "&lt;---------------------&gt;", "")</f>
        <v/>
      </c>
      <c r="N30" s="70"/>
      <c r="O30" s="12" t="n">
        <v>0</v>
      </c>
      <c r="P30" s="34" t="str">
        <f aca="false">IF(J$4&lt;O30, "&lt;", "")</f>
        <v/>
      </c>
      <c r="Q30" s="39"/>
    </row>
    <row r="31" customFormat="false" ht="15" hidden="false" customHeight="false" outlineLevel="0" collapsed="false">
      <c r="C31" s="3"/>
      <c r="D31" s="12"/>
      <c r="H31" s="12"/>
      <c r="I31" s="12"/>
      <c r="J31" s="15"/>
      <c r="K31" s="12"/>
      <c r="L31" s="12"/>
      <c r="M31" s="12"/>
      <c r="N31" s="12"/>
      <c r="O31" s="12"/>
      <c r="P31" s="12"/>
      <c r="Q31" s="12"/>
    </row>
    <row r="32" customFormat="false" ht="15" hidden="false" customHeight="false" outlineLevel="0" collapsed="false">
      <c r="H32" s="12"/>
      <c r="I32" s="12"/>
      <c r="J32" s="15"/>
      <c r="K32" s="12"/>
      <c r="L32" s="12"/>
      <c r="M32" s="12"/>
      <c r="N32" s="12"/>
      <c r="O32" s="12"/>
      <c r="P32" s="12"/>
      <c r="Q32" s="12"/>
      <c r="W32" s="12"/>
    </row>
    <row r="33" customFormat="false" ht="31.5" hidden="false" customHeight="false" outlineLevel="0" collapsed="false">
      <c r="B33" s="3" t="s">
        <v>74</v>
      </c>
      <c r="C33" s="25" t="s">
        <v>102</v>
      </c>
      <c r="D33" s="25" t="s">
        <v>103</v>
      </c>
      <c r="E33" s="25" t="s">
        <v>104</v>
      </c>
      <c r="F33" s="25" t="s">
        <v>105</v>
      </c>
      <c r="G33" s="37" t="s">
        <v>106</v>
      </c>
      <c r="H33" s="37" t="s">
        <v>107</v>
      </c>
      <c r="I33" s="37" t="s">
        <v>108</v>
      </c>
      <c r="J33" s="25"/>
      <c r="K33" s="25" t="s">
        <v>75</v>
      </c>
      <c r="L33" s="25" t="s">
        <v>76</v>
      </c>
      <c r="M33" s="69" t="s">
        <v>77</v>
      </c>
      <c r="N33" s="69" t="s">
        <v>78</v>
      </c>
      <c r="O33" s="94" t="s">
        <v>79</v>
      </c>
      <c r="P33" s="69" t="s">
        <v>80</v>
      </c>
      <c r="Q33" s="82" t="s">
        <v>81</v>
      </c>
      <c r="T33" s="11"/>
    </row>
    <row r="34" customFormat="false" ht="15" hidden="false" customHeight="false" outlineLevel="0" collapsed="false">
      <c r="A34" s="95"/>
      <c r="B34" s="95"/>
      <c r="C34" s="78"/>
      <c r="D34" s="78"/>
      <c r="E34" s="78"/>
      <c r="F34" s="78"/>
      <c r="G34" s="96"/>
      <c r="H34" s="96"/>
      <c r="I34" s="96"/>
      <c r="J34" s="78"/>
      <c r="K34" s="78"/>
      <c r="L34" s="78"/>
      <c r="M34" s="69"/>
      <c r="N34" s="97" t="n">
        <f aca="false">I26</f>
        <v>0</v>
      </c>
      <c r="O34" s="46" t="e">
        <f aca="false">N34/Q50</f>
        <v>#DIV/0!</v>
      </c>
      <c r="P34" s="46" t="e">
        <f aca="false">O34/Q50</f>
        <v>#DIV/0!</v>
      </c>
      <c r="Q34" s="46" t="e">
        <f aca="false">P34/Q50</f>
        <v>#DIV/0!</v>
      </c>
    </row>
    <row r="35" customFormat="false" ht="15" hidden="false" customHeight="false" outlineLevel="0" collapsed="false">
      <c r="A35" s="95" t="s">
        <v>82</v>
      </c>
      <c r="B35" s="98" t="n">
        <f aca="false">C$2</f>
        <v>45530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119" t="n">
        <f aca="false">SUM(C35:I35)</f>
        <v>0</v>
      </c>
      <c r="N35" s="100" t="n">
        <f aca="false">N34-M35</f>
        <v>0</v>
      </c>
      <c r="O35" s="100" t="e">
        <f aca="false">O34-M35/Q$50</f>
        <v>#DIV/0!</v>
      </c>
      <c r="P35" s="100" t="e">
        <f aca="false">P34-M35/Q$50</f>
        <v>#DIV/0!</v>
      </c>
      <c r="Q35" s="100" t="e">
        <f aca="false">Q34-M35/Q$50</f>
        <v>#DIV/0!</v>
      </c>
    </row>
    <row r="36" customFormat="false" ht="15" hidden="false" customHeight="false" outlineLevel="0" collapsed="false">
      <c r="A36" s="95" t="s">
        <v>83</v>
      </c>
      <c r="B36" s="98" t="n">
        <f aca="false">C$2+1</f>
        <v>45531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119" t="n">
        <f aca="false">SUM(C36:L36)</f>
        <v>0</v>
      </c>
      <c r="N36" s="100" t="e">
        <f aca="false">N35-M36/Q$50</f>
        <v>#DIV/0!</v>
      </c>
      <c r="O36" s="100" t="e">
        <f aca="false">O35-M36/Q$50</f>
        <v>#DIV/0!</v>
      </c>
      <c r="P36" s="100" t="e">
        <f aca="false">P35-M36/Q$50</f>
        <v>#DIV/0!</v>
      </c>
      <c r="Q36" s="100" t="e">
        <f aca="false">Q35-M36/Q$50</f>
        <v>#DIV/0!</v>
      </c>
    </row>
    <row r="37" customFormat="false" ht="15" hidden="false" customHeight="false" outlineLevel="0" collapsed="false">
      <c r="A37" s="95" t="s">
        <v>84</v>
      </c>
      <c r="B37" s="98" t="n">
        <f aca="false">C$2+3</f>
        <v>45533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119" t="n">
        <f aca="false">SUM(C37:L37)</f>
        <v>0</v>
      </c>
      <c r="N37" s="100" t="e">
        <f aca="false">N36-M37/Q$50</f>
        <v>#DIV/0!</v>
      </c>
      <c r="O37" s="100" t="e">
        <f aca="false">O36-M37/Q$50</f>
        <v>#DIV/0!</v>
      </c>
      <c r="P37" s="100" t="e">
        <f aca="false">P36-M37/Q$50</f>
        <v>#DIV/0!</v>
      </c>
      <c r="Q37" s="100" t="e">
        <f aca="false">Q36-M37/Q$50</f>
        <v>#DIV/0!</v>
      </c>
    </row>
    <row r="38" customFormat="false" ht="15" hidden="false" customHeight="false" outlineLevel="0" collapsed="false">
      <c r="A38" s="95" t="s">
        <v>85</v>
      </c>
      <c r="B38" s="98" t="n">
        <f aca="false">C$2+4</f>
        <v>45534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119" t="n">
        <f aca="false">SUM(C38:L38)</f>
        <v>0</v>
      </c>
      <c r="N38" s="100" t="e">
        <f aca="false">N37-M38/Q$50</f>
        <v>#DIV/0!</v>
      </c>
      <c r="O38" s="100" t="e">
        <f aca="false">O37-M38/Q$50</f>
        <v>#DIV/0!</v>
      </c>
      <c r="P38" s="100" t="e">
        <f aca="false">P37-M38/Q$50</f>
        <v>#DIV/0!</v>
      </c>
      <c r="Q38" s="100" t="e">
        <f aca="false">Q37-M38/Q$50</f>
        <v>#DIV/0!</v>
      </c>
    </row>
    <row r="39" customFormat="false" ht="15" hidden="false" customHeight="false" outlineLevel="0" collapsed="false">
      <c r="A39" s="95" t="s">
        <v>86</v>
      </c>
      <c r="B39" s="98" t="n">
        <f aca="false">C$2+5</f>
        <v>45535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119" t="n">
        <f aca="false">SUM(C39:L39)</f>
        <v>0</v>
      </c>
      <c r="N39" s="100" t="e">
        <f aca="false">N38-M39/Q$50</f>
        <v>#DIV/0!</v>
      </c>
      <c r="O39" s="100" t="e">
        <f aca="false">O38-M39/Q$50</f>
        <v>#DIV/0!</v>
      </c>
      <c r="P39" s="100" t="e">
        <f aca="false">P38-M39/Q$50</f>
        <v>#DIV/0!</v>
      </c>
      <c r="Q39" s="100" t="e">
        <f aca="false">Q38-M39/Q$50</f>
        <v>#DIV/0!</v>
      </c>
    </row>
    <row r="40" customFormat="false" ht="15" hidden="false" customHeight="true" outlineLevel="0" collapsed="false">
      <c r="A40" s="95" t="s">
        <v>87</v>
      </c>
      <c r="B40" s="98" t="n">
        <f aca="false">C$2+6</f>
        <v>45536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119" t="n">
        <f aca="false">SUM(C40:L40)</f>
        <v>0</v>
      </c>
      <c r="N40" s="100" t="e">
        <f aca="false">N39-M40/Q$50</f>
        <v>#DIV/0!</v>
      </c>
      <c r="O40" s="100" t="e">
        <f aca="false">O39-M40/Q$50</f>
        <v>#DIV/0!</v>
      </c>
      <c r="P40" s="100" t="e">
        <f aca="false">P39-M40/Q$50</f>
        <v>#DIV/0!</v>
      </c>
      <c r="Q40" s="100" t="e">
        <f aca="false">Q39-M40/Q$50</f>
        <v>#DIV/0!</v>
      </c>
    </row>
    <row r="41" customFormat="false" ht="12" hidden="false" customHeight="true" outlineLevel="0" collapsed="false">
      <c r="A41" s="95" t="s">
        <v>88</v>
      </c>
      <c r="B41" s="98" t="n">
        <f aca="false">C$2+7</f>
        <v>45537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119" t="n">
        <f aca="false">SUM(C41:L41)</f>
        <v>0</v>
      </c>
      <c r="N41" s="100" t="e">
        <f aca="false">N40-M41/Q$50</f>
        <v>#DIV/0!</v>
      </c>
      <c r="O41" s="100" t="e">
        <f aca="false">O40-M41/Q$50</f>
        <v>#DIV/0!</v>
      </c>
      <c r="P41" s="100" t="e">
        <f aca="false">P40-M41/Q$50</f>
        <v>#DIV/0!</v>
      </c>
      <c r="Q41" s="100" t="e">
        <f aca="false">Q40-M41/Q$50</f>
        <v>#DIV/0!</v>
      </c>
    </row>
    <row r="42" customFormat="false" ht="15" hidden="false" customHeight="false" outlineLevel="0" collapsed="false">
      <c r="A42" s="95" t="s">
        <v>82</v>
      </c>
      <c r="B42" s="98" t="n">
        <f aca="false">C$2+8</f>
        <v>45538</v>
      </c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119" t="n">
        <f aca="false">SUM(C42:L42)</f>
        <v>0</v>
      </c>
      <c r="N42" s="100" t="e">
        <f aca="false">N41-M42/Q$50</f>
        <v>#DIV/0!</v>
      </c>
      <c r="O42" s="100" t="e">
        <f aca="false">O41-M42/Q$50</f>
        <v>#DIV/0!</v>
      </c>
      <c r="P42" s="100" t="e">
        <f aca="false">P41-M42/Q$50</f>
        <v>#DIV/0!</v>
      </c>
      <c r="Q42" s="100" t="e">
        <f aca="false">Q41-M42/Q$50</f>
        <v>#DIV/0!</v>
      </c>
    </row>
    <row r="43" customFormat="false" ht="15" hidden="false" customHeight="false" outlineLevel="0" collapsed="false">
      <c r="A43" s="95" t="s">
        <v>83</v>
      </c>
      <c r="B43" s="98" t="n">
        <f aca="false">C$2+9</f>
        <v>45539</v>
      </c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119" t="n">
        <f aca="false">SUM(C43:L43)</f>
        <v>0</v>
      </c>
      <c r="N43" s="100" t="e">
        <f aca="false">N42-M43/Q$50</f>
        <v>#DIV/0!</v>
      </c>
      <c r="O43" s="100" t="e">
        <f aca="false">O42-M43/Q$50</f>
        <v>#DIV/0!</v>
      </c>
      <c r="P43" s="100" t="e">
        <f aca="false">P42-M43/Q$50</f>
        <v>#DIV/0!</v>
      </c>
      <c r="Q43" s="100" t="e">
        <f aca="false">Q42-M43/Q$50</f>
        <v>#DIV/0!</v>
      </c>
    </row>
    <row r="44" customFormat="false" ht="15" hidden="false" customHeight="false" outlineLevel="0" collapsed="false">
      <c r="A44" s="95" t="s">
        <v>84</v>
      </c>
      <c r="B44" s="98" t="n">
        <f aca="false">C$2+10</f>
        <v>45540</v>
      </c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119" t="n">
        <f aca="false">SUM(C44:L44)</f>
        <v>0</v>
      </c>
      <c r="N44" s="100" t="e">
        <f aca="false">N43-M44/Q$50</f>
        <v>#DIV/0!</v>
      </c>
      <c r="O44" s="100" t="e">
        <f aca="false">O43-M44/Q$50</f>
        <v>#DIV/0!</v>
      </c>
      <c r="P44" s="100" t="e">
        <f aca="false">P43-M44/Q$50</f>
        <v>#DIV/0!</v>
      </c>
      <c r="Q44" s="100" t="e">
        <f aca="false">Q43-M44/Q$50</f>
        <v>#DIV/0!</v>
      </c>
    </row>
    <row r="45" customFormat="false" ht="15" hidden="false" customHeight="false" outlineLevel="0" collapsed="false">
      <c r="A45" s="95" t="s">
        <v>85</v>
      </c>
      <c r="B45" s="98" t="n">
        <f aca="false">C$2+11</f>
        <v>45541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119" t="n">
        <f aca="false">SUM(C45:L45)</f>
        <v>0</v>
      </c>
      <c r="N45" s="100" t="e">
        <f aca="false">N44-M45/Q$50</f>
        <v>#DIV/0!</v>
      </c>
      <c r="O45" s="100" t="e">
        <f aca="false">O44-M45/Q$50</f>
        <v>#DIV/0!</v>
      </c>
      <c r="P45" s="100" t="e">
        <f aca="false">P44-M45/Q$50</f>
        <v>#DIV/0!</v>
      </c>
      <c r="Q45" s="100" t="e">
        <f aca="false">Q44-M45/Q$50</f>
        <v>#DIV/0!</v>
      </c>
    </row>
    <row r="46" customFormat="false" ht="15" hidden="false" customHeight="false" outlineLevel="0" collapsed="false">
      <c r="A46" s="95" t="s">
        <v>86</v>
      </c>
      <c r="B46" s="98" t="n">
        <f aca="false">C$2+12</f>
        <v>45542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19" t="n">
        <f aca="false">SUM(C46:L46)</f>
        <v>0</v>
      </c>
      <c r="N46" s="100" t="e">
        <f aca="false">N45-M46/Q$50</f>
        <v>#DIV/0!</v>
      </c>
      <c r="O46" s="100" t="e">
        <f aca="false">O45-M46/Q$50</f>
        <v>#DIV/0!</v>
      </c>
      <c r="P46" s="100" t="e">
        <f aca="false">P45-M46/Q$50</f>
        <v>#DIV/0!</v>
      </c>
      <c r="Q46" s="100" t="e">
        <f aca="false">Q45-M46/Q$50</f>
        <v>#DIV/0!</v>
      </c>
    </row>
    <row r="47" customFormat="false" ht="15" hidden="false" customHeight="false" outlineLevel="0" collapsed="false">
      <c r="A47" s="95" t="s">
        <v>87</v>
      </c>
      <c r="B47" s="98" t="n">
        <f aca="false">C$2+13</f>
        <v>45543</v>
      </c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119" t="n">
        <f aca="false">SUM(C47:L47)</f>
        <v>0</v>
      </c>
      <c r="N47" s="100" t="e">
        <f aca="false">N46-M47/Q$50</f>
        <v>#DIV/0!</v>
      </c>
      <c r="O47" s="100" t="e">
        <f aca="false">O46-M47/Q$50</f>
        <v>#DIV/0!</v>
      </c>
      <c r="P47" s="100" t="e">
        <f aca="false">P46-M47/Q$50</f>
        <v>#DIV/0!</v>
      </c>
      <c r="Q47" s="100" t="e">
        <f aca="false">Q46-M47/Q$50</f>
        <v>#DIV/0!</v>
      </c>
    </row>
    <row r="48" customFormat="false" ht="15" hidden="false" customHeight="false" outlineLevel="0" collapsed="false">
      <c r="A48" s="95" t="s">
        <v>88</v>
      </c>
      <c r="B48" s="98" t="n">
        <f aca="false">C$2+14</f>
        <v>45544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19" t="n">
        <f aca="false">SUM(C48:L48)</f>
        <v>0</v>
      </c>
      <c r="N48" s="100" t="e">
        <f aca="false">N47-M48/Q$50</f>
        <v>#DIV/0!</v>
      </c>
      <c r="O48" s="100" t="e">
        <f aca="false">O47-M48/Q$50</f>
        <v>#DIV/0!</v>
      </c>
      <c r="P48" s="100" t="e">
        <f aca="false">P47-M48/Q$50</f>
        <v>#DIV/0!</v>
      </c>
      <c r="Q48" s="100" t="e">
        <f aca="false">Q47-M48/Q$50</f>
        <v>#DIV/0!</v>
      </c>
    </row>
    <row r="49" customFormat="false" ht="15" hidden="false" customHeight="false" outlineLevel="0" collapsed="false">
      <c r="B49" s="1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12" t="s">
        <v>89</v>
      </c>
      <c r="O49" s="12" t="s">
        <v>90</v>
      </c>
      <c r="P49" s="25" t="s">
        <v>91</v>
      </c>
      <c r="Q49" s="12" t="s">
        <v>54</v>
      </c>
    </row>
    <row r="50" customFormat="false" ht="15" hidden="false" customHeight="false" outlineLevel="0" collapsed="false">
      <c r="B50" s="3" t="s">
        <v>92</v>
      </c>
      <c r="C50" s="74" t="n">
        <f aca="false">SUM(C35:C48)</f>
        <v>0</v>
      </c>
      <c r="D50" s="74" t="n">
        <f aca="false">SUM(D35:D48)</f>
        <v>0</v>
      </c>
      <c r="E50" s="74" t="n">
        <f aca="false">SUM(E36:E48)</f>
        <v>0</v>
      </c>
      <c r="F50" s="74" t="n">
        <f aca="false">SUM(F36:F48)</f>
        <v>0</v>
      </c>
      <c r="G50" s="74" t="n">
        <f aca="false">SUM(G36:G48)</f>
        <v>0</v>
      </c>
      <c r="H50" s="74" t="n">
        <f aca="false">SUM(H36:H48)</f>
        <v>0</v>
      </c>
      <c r="I50" s="74" t="n">
        <f aca="false">SUM(I36:I48)</f>
        <v>0</v>
      </c>
      <c r="J50" s="74" t="n">
        <f aca="false">SUM(J36:J48)</f>
        <v>0</v>
      </c>
      <c r="K50" s="74" t="n">
        <f aca="false">SUM(K36:K48)</f>
        <v>0</v>
      </c>
      <c r="L50" s="74" t="n">
        <f aca="false">SUM(L36:L48)</f>
        <v>0</v>
      </c>
      <c r="M50" s="74" t="n">
        <f aca="false">SUM(M35:M48)</f>
        <v>0</v>
      </c>
      <c r="N50" s="102" t="e">
        <f aca="false">I26/H27</f>
        <v>#DIV/0!</v>
      </c>
      <c r="O50" s="46" t="e">
        <f aca="false">(N34-M50)/Q50</f>
        <v>#DIV/0!</v>
      </c>
      <c r="P50" s="102" t="e">
        <f aca="false">100% -N50</f>
        <v>#DIV/0!</v>
      </c>
      <c r="Q50" s="25" t="n">
        <f aca="false">G19</f>
        <v>0</v>
      </c>
    </row>
    <row r="51" customFormat="false" ht="15" hidden="false" customHeight="false" outlineLevel="0" collapsed="false">
      <c r="O51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ATT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2024-07-22T20:47:41Z</dcterms:created>
  <dc:creator>CLARK, KEVIN</dc:creator>
  <dc:description/>
  <dc:language>en-US</dc:language>
  <cp:lastModifiedBy>Kevin Clark</cp:lastModifiedBy>
  <dcterms:modified xsi:type="dcterms:W3CDTF">2026-05-13T18:42:35Z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